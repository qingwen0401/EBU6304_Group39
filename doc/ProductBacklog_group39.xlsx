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大三下\软工\doc\"/>
    </mc:Choice>
  </mc:AlternateContent>
  <xr:revisionPtr revIDLastSave="0" documentId="13_ncr:1_{A1AC528E-4A78-4D97-B995-F828C35EB16D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Overview" sheetId="1" r:id="rId1"/>
    <sheet name="All Requirements" sheetId="2" r:id="rId2"/>
    <sheet name="TA" sheetId="3" r:id="rId3"/>
    <sheet name="MO" sheetId="4" r:id="rId4"/>
    <sheet name="Admin" sheetId="5" r:id="rId5"/>
    <sheet name="Glossary" sheetId="6" r:id="rId6"/>
    <sheet name="Epics" sheetId="7" r:id="rId7"/>
  </sheets>
  <definedNames>
    <definedName name="_xlnm._FilterDatabase" localSheetId="4" hidden="1">Admin!$A$1:$J$11</definedName>
    <definedName name="_xlnm._FilterDatabase" localSheetId="6" hidden="1">Epics!$A$1:$D$7</definedName>
    <definedName name="_xlnm._FilterDatabase" localSheetId="5" hidden="1">Glossary!$A$1:$C$11</definedName>
    <definedName name="_xlnm._FilterDatabase" localSheetId="3" hidden="1">MO!$A$1:$J$11</definedName>
    <definedName name="_xlnm._FilterDatabase" localSheetId="2" hidden="1">TA!$A$1:$J$11</definedName>
    <definedName name="ExternalData_1" localSheetId="1" hidden="1">'All Requirements'!$A$1:$K$53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D6" i="1"/>
  <c r="G5" i="1"/>
  <c r="D5" i="1"/>
  <c r="G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EFEC7-3913-4F47-995A-0FAED77C822D}" keepAlive="1" name="查询 - require" description="与工作簿中“require”查询的连接。" type="5" refreshedVersion="7" background="1" saveData="1">
    <dbPr connection="Provider=Microsoft.Mashup.OleDb.1;Data Source=$Workbook$;Location=require;Extended Properties=&quot;&quot;" command="SELECT * FROM [require]"/>
  </connection>
</connections>
</file>

<file path=xl/sharedStrings.xml><?xml version="1.0" encoding="utf-8"?>
<sst xmlns="http://schemas.openxmlformats.org/spreadsheetml/2006/main" count="800" uniqueCount="457">
  <si>
    <t>TA-11</t>
  </si>
  <si>
    <t xml:space="preserve">Update Personal Profile
</t>
  </si>
  <si>
    <t>As a Teaching Assistant (TA),
I want to edit my profile information after registration, 
so that my details remain accurate.</t>
  </si>
  <si>
    <t>• TA can update name, contact info, and bio.
• Changes are saved to the user profile text file.3. System logs last updated timestamp.</t>
  </si>
  <si>
    <t>Ensure data consistency with initial registration.</t>
  </si>
  <si>
    <t>TA-12</t>
  </si>
  <si>
    <t>Request Role Upgrade</t>
  </si>
  <si>
    <t>As a Teaching Assistant(TA),
 I want to request elevated permissions (e.g., to apply for multiple modules),
 so that I can express interest in broader opportunities.</t>
  </si>
  <si>
    <t>• TA can submit a request form explaining desired role change.
• Request is routed to Admin for approval.
• Admin receives notification and can approve/deny.
• Status is visible to TA.</t>
  </si>
  <si>
    <t>Optional feature; useful for scalability.</t>
  </si>
  <si>
    <t>TA-13</t>
  </si>
  <si>
    <t>View Job Details</t>
  </si>
  <si>
    <t>TA-14</t>
  </si>
  <si>
    <t>TA-15</t>
  </si>
  <si>
    <t>TA-16</t>
  </si>
  <si>
    <t>TA-17</t>
  </si>
  <si>
    <t>MO-11</t>
  </si>
  <si>
    <t>Manage My Module Access</t>
  </si>
  <si>
    <t xml:space="preserve">As a Module Organiser,
 I want to restrict access to my module’s job postings to specific TAs, 
so that only authorized applicants can apply.
</t>
  </si>
  <si>
    <t>• MO can select which TAs are allowed to apply to their module.
• System enforces access restriction during application submission.
•  MO can view list of authorized TAs.</t>
  </si>
  <si>
    <t>May require integration with user groups or roles.</t>
  </si>
  <si>
    <t>MO-12</t>
  </si>
  <si>
    <t>Clone/Template Job Posting</t>
  </si>
  <si>
    <t>As a Module Organiser ,
I want to clone a previous job posting as a template,
so that I can quickly create similar postings for new semesters.</t>
  </si>
  <si>
    <t>Low</t>
  </si>
  <si>
    <t>• Verify that the system provides a "Clone" button that pre-fills all fields except for the dates.
• Verify that the newly cloned job is set to "Draft" status by default.
• Verify that any modifications to the cloned copy do not affect the data of the original posting.</t>
  </si>
  <si>
    <t>Efficiency feature to reduce repetitive data entry for recurring modules.</t>
  </si>
  <si>
    <t>MO-13</t>
  </si>
  <si>
    <t>Preview Job Posting</t>
  </si>
  <si>
    <t>As a Module Organiser (MO),
I want to preview the job posting from a TA’s perspective before publishing,
so that I can ensure the layout and information are accurate.</t>
  </si>
  <si>
    <t>Medium</t>
  </si>
  <si>
    <t>• Verify that the MO can click a "Preview" button while in "Draft" status to view the full display page as seen by TAs.
• Verify that entering preview mode does not change the job status (it remains "Draft").
• Verify that the preview interface is visually identical to the TA's application view but disables the submission functionality.</t>
  </si>
  <si>
    <t>UX improvement to prevent formatting errors in public postings.</t>
  </si>
  <si>
    <t>MO-14</t>
  </si>
  <si>
    <t>Withdraw/Cancel Posting</t>
  </si>
  <si>
    <t>As a Module Organiser (MO),
I want to withdraw a published job posting if requirements change,
so that I can inform existing applicants and stop new ones.</t>
  </si>
  <si>
    <t>• Verify that the MO can withdraw or cancel a job that is currently "Open".
• Verify that the system automatically updates the status of all associated applications to "Job Cancelled".
• Verify that a confirmation prompt appears before withdrawal to prevent accidental cancellation.</t>
  </si>
  <si>
    <t>Includes logic for batch-updating application records in the text-based files.</t>
  </si>
  <si>
    <t>MO-15</t>
  </si>
  <si>
    <t>View Job Posting Dashboard</t>
  </si>
  <si>
    <t>As a Module Organiser (MO),
I want to view all my job postings and their statuses in a centralized dashboard,
so that I can efficiently manage recruitment progress across multiple modules.</t>
  </si>
  <si>
    <t>High</t>
  </si>
  <si>
    <t>• Verify that the "My Jobs" page displays all jobs belonging to the logged-in MO, showing Title, Status, Deadline, and Applicant Count.
• Verify that the MO can filter the list by status (Draft, Open, Closed).
• Verify that quick-action links (Edit, Publish, Close, View Applicants) are accessible directly from the dashboard list.</t>
  </si>
  <si>
    <t>Core navigation hub for MOs to manage their recruitment pipeline.</t>
  </si>
  <si>
    <t>MO-16</t>
  </si>
  <si>
    <t>Add Internal Evaluation Notes</t>
  </si>
  <si>
    <t>As a Module Organiser (MO),
I want to add internal evaluation notes,
so that I can record my assessment and refer to it during the selection process.</t>
  </si>
  <si>
    <t>• Verify that the MO can enter text notes on an applicant's profile.
• Verify that these notes are only visible to MOs and Admins.
• Verify that notes are saved and remain accessible for future review."</t>
  </si>
  <si>
    <t>Helps track subjective feedback.</t>
  </si>
  <si>
    <t>MO-17</t>
  </si>
  <si>
    <t>Applicant Rating System</t>
  </si>
  <si>
    <t>As a Module Organiser (MO),
I want to rate applicants using a scoring system,
so that I can compare candidates objectively based on set criteria.</t>
  </si>
  <si>
    <t>• Verify that the MO can assign a numeric score (e.g., 1-5) to candidates.
• Verify that the system calculates and displays the average score per candidate.
• Verify that applicants can be sorted by their rating.</t>
  </si>
  <si>
    <t>Enables objective ranking of candidates.</t>
  </si>
  <si>
    <t>MO-18</t>
  </si>
  <si>
    <t>Bulk Reject Applications</t>
  </si>
  <si>
    <t>As a Module Organiser (MO),
I want to bulk reject applications,
so that I can efficiently manage a high volume of candidates."</t>
  </si>
  <si>
    <t>• Verify that the MO can select multiple candidates for rejection at once.
• Verify that a confirmation prompt appears before finalizing the bulk action.
• Verify that the status of all selected candidates is updated to 'Rejected'.</t>
  </si>
  <si>
    <t>Increases efficiency during peak cycles.</t>
  </si>
  <si>
    <t>MO-19</t>
  </si>
  <si>
    <t>Automated Eligibility Filtering</t>
  </si>
  <si>
    <t>As a Module Organiser (MO),
I want to set automated filtering rules,
so that I can quickly identify applicants who do not meet mandatory requirements.</t>
  </si>
  <si>
    <t>• Verify that the MO can define filters based on GPA or specific profile fields.
• Verify that applicants failing the filter are automatically moved to an 'Ineligible' list.
• Verify that the MO can manually override or review filtered applicants.</t>
  </si>
  <si>
    <t>Reduces manual screening time.</t>
  </si>
  <si>
    <t>AD-11</t>
  </si>
  <si>
    <t>Reset Admin Password</t>
  </si>
  <si>
    <t>As an Admin, 
I want to reset my password using a secure recovery process, 
so that I can regain access if I forget it.</t>
  </si>
  <si>
    <t xml:space="preserve">• Admin can initiate password reset via email link.
• System generates a time-limited reset token.
• New password must meet complexity.
• Password is updated and logged securely.
</t>
  </si>
  <si>
    <t>Should integrate with university email service.</t>
  </si>
  <si>
    <t>AD-12</t>
  </si>
  <si>
    <t>View Login Activity</t>
  </si>
  <si>
    <t>As an Admin,
 I want to view login history and failed attempts, 
so that I can monitor system security.</t>
  </si>
  <si>
    <t>• Admin can access a dashboard showing recent logins by role.
• Failed login attempts are logged with timestamp and IP.
• Ability to filter logs by date/role.</t>
  </si>
  <si>
    <t>Useful for auditing and detecting suspicious activity.</t>
  </si>
  <si>
    <t>AD-13</t>
  </si>
  <si>
    <t>Export Workload Report</t>
  </si>
  <si>
    <t>As an Admin, 
I want to export workload data to a CSV file,
 so that I can share it with other administrators or use it for offline analysis.</t>
  </si>
  <si>
    <t>• Verify that a button or link is available to export the current workload view (or all workload data).
• Verify that the exported file is in CSV format and contains all relevant fields (TA name, modules, total hours, etc.).
• Verify that special characters and line breaks are handled correctly in the export.</t>
  </si>
  <si>
    <t>Depends on AD-02;
 useful for reporting</t>
  </si>
  <si>
    <t>AD-14</t>
  </si>
  <si>
    <t>Configure Workload Threshold</t>
  </si>
  <si>
    <t>As an Admin,
 I want to configure the workload threshold (maximum allowed hours) for TAs, 
so that overload detection can be customised per semester.</t>
  </si>
  <si>
    <t>• Verify that the admin can access a configuration page to set the threshold value.
• Verify that the threshold is saved and used by the overload detection feature (AD-04).
• Verify that only authorised admins can modify the threshold.</t>
  </si>
  <si>
    <t>Supports flexible fairness rules</t>
  </si>
  <si>
    <t>AD-15</t>
  </si>
  <si>
    <t>View Workload History</t>
  </si>
  <si>
    <t>As an Admin, 
I want to view historical workload data for each TA across past terms, 
so that I can analyse long-term allocation patterns.</t>
  </si>
  <si>
    <t>• Verify that the admin can select a past term and see workload data as it was at that time (or aggregated).
• Verify that the historical view includes the same metrics as the current view (modules, hours, status).
• Verify that data is correctly archived or recomputed from historical records.</t>
  </si>
  <si>
    <t>Requires storing snapshots or querying past assignments</t>
  </si>
  <si>
    <t>AD-16</t>
  </si>
  <si>
    <t>View Allocation Fairness Index</t>
  </si>
  <si>
    <t>As an Admin,
 I want to see a fairness index (e.g., Gini coefficient or simple distribution chart) of TA workloads, 
so that I can quickly assess whether assignments are balanced.</t>
  </si>
  <si>
    <t>• Verify that a visual representation (e.g., bar chart or pie chart) shows the distribution of workload among TAs.
• Verify that a numeric fairness metric (if feasible) is displayed.
• Verify that the view updates when filters (term/module) are applied.</t>
  </si>
  <si>
    <t>May require statistical calculation; consider using simple percentages</t>
  </si>
  <si>
    <t>j.p</t>
  </si>
  <si>
    <t>APP.</t>
  </si>
  <si>
    <t>s.l.</t>
  </si>
  <si>
    <t>acc</t>
  </si>
  <si>
    <t>rej</t>
  </si>
  <si>
    <t>w.l.</t>
  </si>
  <si>
    <t>TA-01, TA-02, MO-01, AD-01,AD-11,AD-12,MO-11,TA-11,TA-12</t>
  </si>
  <si>
    <t>MO-02, MO-03, MO-04, MO-05, MO-12, MO-13, MO-14, MO-15</t>
  </si>
  <si>
    <t>MO-06, MO-07, MO-08, MO-09, MO-10,MO-16,MO-17,MO-18,MO-19</t>
  </si>
  <si>
    <t>AD-02, AD-03, AD-04, AD-05, AD-06, AD-07,AD-11,AD-12, AD-13, AD-14, AD-15, AD-16, AD-17</t>
  </si>
  <si>
    <t>As a Teaching Assistant(TA),
I want to view detailed information about a job posting, so that I can decide whether the position is suitable before applying.</t>
  </si>
  <si>
    <t>• Verify that the TA can open a job listing to view detailed information.
• Verify that details include module name, responsibilities, workload, and deadline.
• Verify that the page clearly shows whether the job is still open</t>
  </si>
  <si>
    <t>Extends TA-06 browsing feature.</t>
  </si>
  <si>
    <t>Withdraw Job Application</t>
  </si>
  <si>
    <t>As a Teaching Assistant(TA),
I want to withdraw a submitted job application, so that I can correct mistakes or change my decision.</t>
  </si>
  <si>
    <t>• Verify that a TA can withdraw an application before it is reviewed
• Verify that the application status changes to “Withdrawn”.
• Verify that withdrawn applications cannot be reconsidered unless reapplied.</t>
  </si>
  <si>
    <t>Depends on TA-08.</t>
  </si>
  <si>
    <t>View Application History</t>
  </si>
  <si>
    <t>As a Teaching Assistant(TA),
 I want to view my past applications,
so that I can track my previous job attempts and outcomes.</t>
  </si>
  <si>
    <t>Helps maintain transparency.</t>
  </si>
  <si>
    <t>Update Availability</t>
  </si>
  <si>
    <t>As a Teaching Assistant(TA),
I want to update my weekly availability,,
 so that module organisers can assign work based on my schedule.</t>
  </si>
  <si>
    <t>• Verify that all submitted applications are listed.
• Verify that each record displays job title, submission date, and status.
• Verify that the list includes both active and closed applications.</t>
  </si>
  <si>
    <t>Extends TA-03 profile information</t>
  </si>
  <si>
    <t>Log Out of System</t>
  </si>
  <si>
    <t>As a Teaching Assistant(TA),
 I want to log out of the system,
 so that my account remains secure when I finish using the platform.</t>
  </si>
  <si>
    <t>• Verify that the TA can update available time slots.
• Verify that changes are saved correctly.
• Verify that updated availability appears in the profile view.</t>
  </si>
  <si>
    <t>• Verify that the TA can log out successfully.
• Verify that the session ends immediately after logout.
• Verify that the TA must log in again to access protected pages.</t>
  </si>
  <si>
    <t>Basic security feature.</t>
  </si>
  <si>
    <t>TA Recruitment System Requirements Backlog</t>
  </si>
  <si>
    <t>Workbook contents</t>
  </si>
  <si>
    <t>Role counts</t>
  </si>
  <si>
    <t>Priority counts</t>
  </si>
  <si>
    <t>All Requirements (Prioritised Backlog)</t>
  </si>
  <si>
    <t>TA</t>
  </si>
  <si>
    <t>very high</t>
  </si>
  <si>
    <t>MO</t>
  </si>
  <si>
    <t>high</t>
  </si>
  <si>
    <t>Admin</t>
  </si>
  <si>
    <t>medium</t>
  </si>
  <si>
    <t>low</t>
  </si>
  <si>
    <t>very low</t>
  </si>
  <si>
    <t>Sprint calendar</t>
  </si>
  <si>
    <t>Sprint</t>
  </si>
  <si>
    <t>Start</t>
  </si>
  <si>
    <t>Finish</t>
  </si>
  <si>
    <t>Notes</t>
  </si>
  <si>
    <t>Descriptions follow the 3-line user story format; acceptance criteria are phrased as high-level tests; estimation uses Fibonacci-style story points.</t>
  </si>
  <si>
    <t>Role</t>
  </si>
  <si>
    <t>Story ID</t>
  </si>
  <si>
    <t>Story Name</t>
  </si>
  <si>
    <t>Description</t>
  </si>
  <si>
    <t>Priority</t>
  </si>
  <si>
    <t>Iteration number</t>
  </si>
  <si>
    <t>Acceptance Criteria</t>
  </si>
  <si>
    <t>Estimation (Story Points)</t>
  </si>
  <si>
    <t>Date started</t>
  </si>
  <si>
    <t>Date finished</t>
  </si>
  <si>
    <t>AD-01</t>
  </si>
  <si>
    <t>Log In as Admin</t>
  </si>
  <si>
    <t>As an Admin,
I want to log in securely,
so that I can access system-wide management functions.</t>
  </si>
  <si>
    <t>• Verify that an admin can log in with valid credentials.
• Verify that invalid admin credentials are rejected.
• Verify that successful login opens the admin dashboard.</t>
  </si>
  <si>
    <t>Prerequisite for all admin functions.</t>
  </si>
  <si>
    <t>MO-01</t>
  </si>
  <si>
    <t>Log In as Organiser</t>
  </si>
  <si>
    <t>As a Module Organiser (MO),
I want to log in to the system,
so that I can manage postings and applicants for my module.</t>
  </si>
  <si>
    <t>• Verify that a module organiser can log in with valid credentials.
• Verify that invalid credentials generate an error message.
• Verify that successful login opens the organiser dashboard.</t>
  </si>
  <si>
    <t>Prerequisite for all MO-facing features.</t>
  </si>
  <si>
    <t>MO-02</t>
  </si>
  <si>
    <t>Create Job Posting</t>
  </si>
  <si>
    <t>As a Module Organiser (MO),
I want to create a job posting,
so that I can advertise teaching assistant opportunities for my course.</t>
  </si>
  <si>
    <t>• Verify that a module organiser can create a job posting with title, description, requirements, and deadline.
• Verify that required fields must be completed before saving.
• Verify that a saved job is stored in the system as a draft or open posting.</t>
  </si>
  <si>
    <t>Core recruitment capability.</t>
  </si>
  <si>
    <t>MO-03</t>
  </si>
  <si>
    <t>Publish Job Posting</t>
  </si>
  <si>
    <t>As a Module Organiser (MO),
I want to publish a job posting,
so that eligible TAs can view and apply for it.</t>
  </si>
  <si>
    <t>• Verify that a created job posting can be published.
• Verify that a published posting becomes visible to eligible TAs.
• Verify that unpublished postings remain hidden from TA users.</t>
  </si>
  <si>
    <t>Depends on MO-02.</t>
  </si>
  <si>
    <t>TA-01</t>
  </si>
  <si>
    <t>Register Account</t>
  </si>
  <si>
    <t>As a Teaching Assistant (TA),
I want to register an account,
so that I can access the recruitment system with my university email.</t>
  </si>
  <si>
    <t>• Verify that a TA can register using a valid university email address.
• Verify that required fields are validated before account creation.
• Verify that a successful registration enables the TA to log in.</t>
  </si>
  <si>
    <t>Prerequisite for all TA-facing features.</t>
  </si>
  <si>
    <t>TA-02</t>
  </si>
  <si>
    <t>Log In to System</t>
  </si>
  <si>
    <t>As a Teaching Assistant (TA),
I want to log in to the system,
so that I can manage my profile and job applications securely.</t>
  </si>
  <si>
    <t>• Verify that valid credentials allow the TA to access the system.
• Verify that invalid credentials display an error message.
• Verify that the TA is redirected to the correct landing page after login.</t>
  </si>
  <si>
    <t>Core access feature for TA users.</t>
  </si>
  <si>
    <t>TA-03</t>
  </si>
  <si>
    <t>Create Applicant Profile</t>
  </si>
  <si>
    <t>As a Teaching Assistant (TA),
I want to create my applicant profile,
so that employers can understand my background, skills, and availability.</t>
  </si>
  <si>
    <t>• Verify that the TA can create a profile with name, student ID, skills, and availability.
• Verify that mandatory profile fields cannot be left blank.
• Verify that the saved profile can be viewed after submission.</t>
  </si>
  <si>
    <t>Required before a TA can apply for jobs.</t>
  </si>
  <si>
    <t>TA-05</t>
  </si>
  <si>
    <t>Upload CV</t>
  </si>
  <si>
    <t>As a Teaching Assistant (TA),
I want to upload my CV,
so that module organisers can review my qualifications during recruitment.</t>
  </si>
  <si>
    <t>• Verify that the TA can upload a CV in an allowed file format.
• Verify that an invalid file type is rejected with a clear message.
• Verify that the uploaded CV is visible to authorised module organisers.</t>
  </si>
  <si>
    <t>Depends on TA-03.</t>
  </si>
  <si>
    <t>MO-06</t>
  </si>
  <si>
    <t>View Applicants for a Job</t>
  </si>
  <si>
    <t>As a Module Organiser (MO),
I want to view applicants for a job,
so that I can review who has applied for my vacancy.</t>
  </si>
  <si>
    <t>• Verify that a module organiser can view all applicants linked to a specific job.
• Verify that each applicant entry shows relevant profile and CV information.
• Verify that applicants are displayed against the correct vacancy.</t>
  </si>
  <si>
    <t>Core screening feature.</t>
  </si>
  <si>
    <t>TA-06</t>
  </si>
  <si>
    <t>Browse Available Jobs</t>
  </si>
  <si>
    <t>As a Teaching Assistant (TA),
I want to browse available jobs,
so that I can identify roles that match my interests and schedule.</t>
  </si>
  <si>
    <t>• Verify that all open positions are displayed to the TA.
• Verify that each job listing shows key information such as title, module, deadline, and workload.
• Verify that closed positions are not shown in the default results.</t>
  </si>
  <si>
    <t>Depends on published job postings.</t>
  </si>
  <si>
    <t>TA-08</t>
  </si>
  <si>
    <t>Apply for a Job</t>
  </si>
  <si>
    <t>As a Teaching Assistant (TA),
I want to apply for a job,
so that I can be considered for teaching assistant work.</t>
  </si>
  <si>
    <t>• Verify that only eligible TAs with completed profile details can submit an application.
• Verify that a successful application creates a new application record.
• Verify that the system prevents duplicate applications for the same job.</t>
  </si>
  <si>
    <t>Core TA workflow.</t>
  </si>
  <si>
    <t>MO-09</t>
  </si>
  <si>
    <t>Accept or Reject Applicants</t>
  </si>
  <si>
    <t>As a Module Organiser (MO),
I want to accept or reject applicants,
so that I can complete hiring decisions for each vacancy.</t>
  </si>
  <si>
    <t>• Verify that a module organiser can record a final decision as accepted or rejected.
• Verify that the system warns the organiser when available positions are already filled.
• Verify that the final decision is reflected in the TA application status.</t>
  </si>
  <si>
    <t>Core hiring decision feature.</t>
  </si>
  <si>
    <t>AD-02</t>
  </si>
  <si>
    <t>View All TA Workloads</t>
  </si>
  <si>
    <t>As an Admin,
I want to view all TA workloads,
so that I can monitor teaching allocation across modules.</t>
  </si>
  <si>
    <t>• Verify that the admin can view TA workload information across modules.
• Verify that workload totals are based on accepted or assigned jobs.
• Verify that workload data is displayed per TA in a readable format.</t>
  </si>
  <si>
    <t>Core monitoring requirement.</t>
  </si>
  <si>
    <t>AD-04</t>
  </si>
  <si>
    <t>Detect Overloaded TAs</t>
  </si>
  <si>
    <t>As an Admin,
I want to detect overloaded TAs,
so that I can identify unfair or excessive workload assignments.</t>
  </si>
  <si>
    <t>• Verify that the system flags TAs whose workload exceeds the configured threshold.
• Verify that the admin can view the list of overloaded TAs.
• Verify that the threshold used for overload checking can be configured by an authorised user.</t>
  </si>
  <si>
    <t>Supports workload fairness checks.</t>
  </si>
  <si>
    <t>TA-04</t>
  </si>
  <si>
    <t>Edit Applicant Profile</t>
  </si>
  <si>
    <t>As a Teaching Assistant (TA),
I want to edit my applicant profile,
so that my information stays accurate and up to date.</t>
  </si>
  <si>
    <t>• Verify that an existing profile can be edited.
• Verify that updated profile information is saved successfully.
• Verify that the latest profile details are displayed when the page is reopened.</t>
  </si>
  <si>
    <t>MO-04</t>
  </si>
  <si>
    <t>Edit Job Posting</t>
  </si>
  <si>
    <t>As a Module Organiser (MO),
I want to edit a job posting,
so that I can keep role details accurate throughout recruitment.</t>
  </si>
  <si>
    <t>• Verify that a module organiser can edit job details after creation.
• Verify that updated details are saved without losing linked applications.
• Verify that the revised job information is shown to users after the update.</t>
  </si>
  <si>
    <t>MO-05</t>
  </si>
  <si>
    <t>Close Job Posting</t>
  </si>
  <si>
    <t>As a Module Organiser (MO),
I want to close a job posting,
so that applications stop when the deadline is reached or places are filled.</t>
  </si>
  <si>
    <t>• Verify that a module organiser can close an active job posting.
• Verify that closed jobs no longer accept new applications.
• Verify that existing application records remain available for review after closure.</t>
  </si>
  <si>
    <t>Supports job lifecycle management.</t>
  </si>
  <si>
    <t>TA-07</t>
  </si>
  <si>
    <t>Search and Filter Jobs</t>
  </si>
  <si>
    <t>As a Teaching Assistant (TA),
I want to search and filter jobs,
so that I can find suitable opportunities more efficiently.</t>
  </si>
  <si>
    <t>• Verify that jobs can be searched by keyword.
• Verify that results can be filtered by module, time slot, or workload.
• Verify that filtered results update correctly when search conditions change.</t>
  </si>
  <si>
    <t>Improves job discovery efficiency.</t>
  </si>
  <si>
    <t>TA-09</t>
  </si>
  <si>
    <t>Track Application Status</t>
  </si>
  <si>
    <t>As a Teaching Assistant (TA),
I want to track my application status,
so that I know the progress and outcome of each application.</t>
  </si>
  <si>
    <t>• Verify that the TA can view the status of every submitted application.
• Verify that statuses such as Submitted, Under Review, Accepted, and Rejected are displayed correctly.
• Verify that status changes are reflected without altering the original application record.</t>
  </si>
  <si>
    <t>Depends on TA-08 and MO decisions.</t>
  </si>
  <si>
    <t>MO-07</t>
  </si>
  <si>
    <t>Filter Applicants</t>
  </si>
  <si>
    <t>As a Module Organiser (MO),
I want to filter applicants,
so that I can identify the most suitable candidates more quickly.</t>
  </si>
  <si>
    <t>• Verify that applicants can be filtered by skills, availability, or experience.
• Verify that the filtered list only shows matching candidates.
• Verify that the organiser can reset the filters and return to the full list.</t>
  </si>
  <si>
    <t>Improves screening efficiency.</t>
  </si>
  <si>
    <t>MO-08</t>
  </si>
  <si>
    <t>Shortlist Applicants</t>
  </si>
  <si>
    <t>As a Module Organiser (MO),
I want to shortlist applicants,
so that I can narrow down promising candidates for final selection.</t>
  </si>
  <si>
    <t>• Verify that a module organiser can mark an applicant as shortlisted.
• Verify that shortlisted applicants appear in a shortlist view.
• Verify that the updated shortlist status is visible to the TA where appropriate.</t>
  </si>
  <si>
    <t>Depends on MO-06.</t>
  </si>
  <si>
    <t>AD-03</t>
  </si>
  <si>
    <t>Filter Workload by Term or Module</t>
  </si>
  <si>
    <t>As an Admin,
I want to filter workload data by term or module,
so that I can analyse staffing patterns more effectively.</t>
  </si>
  <si>
    <t>• Verify that workload data can be filtered by term, module, or department.
• Verify that filtered results update correctly.
• Verify that clearing the filters restores the complete dataset.</t>
  </si>
  <si>
    <t>Depends on AD-02.</t>
  </si>
  <si>
    <t>AD-05</t>
  </si>
  <si>
    <t>View Hiring Distribution</t>
  </si>
  <si>
    <t>As an Admin,
I want to view hiring distribution,
so that I can check whether opportunities are allocated fairly among TAs.</t>
  </si>
  <si>
    <t>• Verify that the admin can view how opportunities are distributed across TAs.
• Verify that the view highlights both under-assigned and heavily assigned TAs.
• Verify that the distribution data is consistent with the hiring records.</t>
  </si>
  <si>
    <t>Supports allocation fairness analysis.</t>
  </si>
  <si>
    <t>AD-08</t>
  </si>
  <si>
    <t>Manage User Accounts</t>
  </si>
  <si>
    <t>As an Admin,
I want to manage user accounts,
so that I can control access and maintain system integrity.</t>
  </si>
  <si>
    <t>• Verify that the admin can activate, suspend, or deactivate user accounts.
• Verify that suspended or deactivated users cannot log in.
• Verify that account status changes are saved immediately.</t>
  </si>
  <si>
    <t>Supports system governance.</t>
  </si>
  <si>
    <t>AD-06</t>
  </si>
  <si>
    <t>View All Job Postings</t>
  </si>
  <si>
    <t>As an Admin,
I want to view all job postings,
so that I can oversee recruitment activity across the whole system.</t>
  </si>
  <si>
    <t>• Verify that the admin can view all job postings created by module organisers.
• Verify that each posting shows owner, module, deadline, and status.
• Verify that the list includes both open and closed postings.</t>
  </si>
  <si>
    <t>Supports oversight of recruitment activity.</t>
  </si>
  <si>
    <t>TA-10</t>
  </si>
  <si>
    <t>Receive Notification of Outcome</t>
  </si>
  <si>
    <t>As a Teaching Assistant (TA),
I want to receive notifications when my application status changes,
so that I do not miss important updates.</t>
  </si>
  <si>
    <t>• Verify that the TA receives a notification when an application status changes.
• Verify that unread notifications are clearly highlighted.
• Verify that the TA can open a notification to review the latest update.</t>
  </si>
  <si>
    <t>Can be extended to email notifications later.</t>
  </si>
  <si>
    <t>AD-07</t>
  </si>
  <si>
    <t>View Application Statistics</t>
  </si>
  <si>
    <t>As an Admin,
I want to view application statistics,
so that I can evaluate overall recruitment performance.</t>
  </si>
  <si>
    <t>• Verify that the admin can view total applications, acceptances, and rejections.
• Verify that the statistics are calculated from the current system data.
• Verify that the displayed totals remain consistent across the reporting views.</t>
  </si>
  <si>
    <t>Supports management reporting.</t>
  </si>
  <si>
    <t>MO-10</t>
  </si>
  <si>
    <t>View Recruitment Summary</t>
  </si>
  <si>
    <t>As a Module Organiser (MO),
I want to view recruitment summary statistics,
so that I can monitor the progress of hiring for a job.</t>
  </si>
  <si>
    <t>• Verify that recruitment summary statistics show the total number of applicants.
• Verify that the summary distinguishes pending, accepted, and rejected applications.
• Verify that summary totals match the underlying application data.</t>
  </si>
  <si>
    <t>Useful for quick recruitment monitoring.</t>
  </si>
  <si>
    <t>AD-09</t>
  </si>
  <si>
    <t>Generate Management Report</t>
  </si>
  <si>
    <t>As an Admin,
I want to generate management reports,
so that I can support review and decision-making at school level.</t>
  </si>
  <si>
    <t>• Verify that the admin can export management reports in a supported format.
• Verify that exported reports match the data shown on screen.
• Verify that generated files can be downloaded successfully.</t>
  </si>
  <si>
    <t>Management-facing enhancement.</t>
  </si>
  <si>
    <t>AD-10</t>
  </si>
  <si>
    <t>View Audit Log</t>
  </si>
  <si>
    <t>As an Admin,
I want to view the audit log,
so that I can trace important actions taken in the system.</t>
  </si>
  <si>
    <t>• Verify that the admin can view audit log entries for key system actions.
• Verify that each log entry shows the action, user, and timestamp.
• Verify that audit log entries are read-only.</t>
  </si>
  <si>
    <t>Audit and traceability enhancement.</t>
  </si>
  <si>
    <t>medium</t>
  </si>
  <si>
    <t>low</t>
  </si>
  <si>
    <t>high</t>
  </si>
  <si>
    <t>very high</t>
  </si>
  <si>
    <t>Term</t>
  </si>
  <si>
    <t>Abbreviation</t>
  </si>
  <si>
    <t>Definition</t>
  </si>
  <si>
    <t>Teaching Assistant</t>
  </si>
  <si>
    <t>A student or staff member applying for or performing teaching assistant work.</t>
  </si>
  <si>
    <t>Module Organiser</t>
  </si>
  <si>
    <t>The course owner or hiring manager who creates jobs and selects applicants.</t>
  </si>
  <si>
    <t>Administrator</t>
  </si>
  <si>
    <t>A system-level user who monitors fairness, workload, and governance.</t>
  </si>
  <si>
    <t>Curriculum Vitae</t>
  </si>
  <si>
    <t>CV</t>
  </si>
  <si>
    <t>A document uploaded by a TA to present qualifications, experience, and skills.</t>
  </si>
  <si>
    <t>Job Posting</t>
  </si>
  <si>
    <t>A vacancy published by a module organiser for TA recruitment.</t>
  </si>
  <si>
    <t>Application</t>
  </si>
  <si>
    <t>A TA's submission for a specific job posting.</t>
  </si>
  <si>
    <t>Shortlisted</t>
  </si>
  <si>
    <t>An intermediate application status showing the TA is still under consideration.</t>
  </si>
  <si>
    <t>Accepted</t>
  </si>
  <si>
    <t>A final application status showing the TA has been selected for the role.</t>
  </si>
  <si>
    <t>Rejected</t>
  </si>
  <si>
    <t>A final application status showing the TA has not been selected.</t>
  </si>
  <si>
    <t>Workload</t>
  </si>
  <si>
    <t>The total number of assigned jobs, hours, or tasks allocated to a TA.</t>
  </si>
  <si>
    <t>Epic ID</t>
  </si>
  <si>
    <t>Epic Name</t>
  </si>
  <si>
    <t>Stories Included</t>
  </si>
  <si>
    <t>EP-01</t>
  </si>
  <si>
    <t>Access &amp; Identity Management</t>
  </si>
  <si>
    <t>Foundational access control for the three main roles in the system.</t>
  </si>
  <si>
    <t>EP-02</t>
  </si>
  <si>
    <t>TA Profile &amp; Application Management</t>
  </si>
  <si>
    <t>TA onboarding, profile creation, CV handling, job discovery, and application tracking.</t>
  </si>
  <si>
    <t>TA-03, TA-04, TA-05, TA-06, TA-07, TA-08, TA-09, TA-10</t>
  </si>
  <si>
    <t>EP-03</t>
  </si>
  <si>
    <t>Job Posting Lifecycle</t>
  </si>
  <si>
    <t>Creation, publication, maintenance, and closure of job postings by module organisers.</t>
  </si>
  <si>
    <t>EP-04</t>
  </si>
  <si>
    <t>Candidate Screening &amp; Selection</t>
  </si>
  <si>
    <t>Review, filtering, shortlisting, and final decision-making for applicants.</t>
  </si>
  <si>
    <t>EP-05</t>
  </si>
  <si>
    <t>Workload Monitoring &amp; Fairness</t>
  </si>
  <si>
    <t>Admin monitoring of workload, allocation fairness, and recruitment statistics.</t>
  </si>
  <si>
    <t>EP-06</t>
  </si>
  <si>
    <t>Governance, Reporting &amp; Audit</t>
  </si>
  <si>
    <t>Account management, reporting, and audit-trail capabilities for administrators.</t>
  </si>
  <si>
    <t>AD-08, AD-09, AD-10</t>
  </si>
  <si>
    <t>As an Admin,_x000D_
I want to log in securely,_x000D_
so that I can access system-wide management functions.</t>
  </si>
  <si>
    <t>• Verify that an admin can log in with valid credentials._x000D_
• Verify that invalid admin credentials are rejected._x000D_
• Verify that successful login opens the admin dashboard.</t>
  </si>
  <si>
    <t>As an Admin,_x000D_
I want to view all TA workloads,_x000D_
so that I can monitor teaching allocation across modules.</t>
  </si>
  <si>
    <t>• Verify that the admin can view TA workload information across modules._x000D_
• Verify that workload totals are based on accepted or assigned jobs._x000D_
• Verify that workload data is displayed per TA in a readable format.</t>
  </si>
  <si>
    <t>As an Admin,_x000D_
I want to filter workload data by term or module,_x000D_
so that I can analyse staffing patterns more effectively.</t>
  </si>
  <si>
    <t>• Verify that workload data can be filtered by term, module, or department._x000D_
• Verify that filtered results update correctly._x000D_
• Verify that clearing the filters restores the complete dataset.</t>
  </si>
  <si>
    <t>As an Admin,_x000D_
I want to detect overloaded TAs,_x000D_
so that I can identify unfair or excessive workload assignments.</t>
  </si>
  <si>
    <t>• Verify that the system flags TAs whose workload exceeds the configured threshold._x000D_
• Verify that the admin can view the list of overloaded TAs._x000D_
• Verify that the threshold used for overload checking can be configured by an authorised user.</t>
  </si>
  <si>
    <t>As an Admin,_x000D_
I want to view hiring distribution,_x000D_
so that I can check whether opportunities are allocated fairly among TAs.</t>
  </si>
  <si>
    <t>• Verify that the admin can view how opportunities are distributed across TAs._x000D_
• Verify that the view highlights both under-assigned and heavily assigned TAs._x000D_
• Verify that the distribution data is consistent with the hiring records.</t>
  </si>
  <si>
    <t>As an Admin,_x000D_
I want to view all job postings,_x000D_
so that I can oversee recruitment activity across the whole system.</t>
  </si>
  <si>
    <t>• Verify that the admin can view all job postings created by module organisers._x000D_
• Verify that each posting shows owner, module, deadline, and status._x000D_
• Verify that the list includes both open and closed postings.</t>
  </si>
  <si>
    <t>As an Admin,_x000D_
I want to view application statistics,_x000D_
so that I can evaluate overall recruitment performance.</t>
  </si>
  <si>
    <t>• Verify that the admin can view total applications, acceptances, and rejections._x000D_
• Verify that the statistics are calculated from the current system data._x000D_
• Verify that the displayed totals remain consistent across the reporting views.</t>
  </si>
  <si>
    <t>As an Admin,_x000D_
I want to manage user accounts,_x000D_
so that I can control access and maintain system integrity.</t>
  </si>
  <si>
    <t>• Verify that the admin can activate, suspend, or deactivate user accounts._x000D_
• Verify that suspended or deactivated users cannot log in._x000D_
• Verify that account status changes are saved immediately.</t>
  </si>
  <si>
    <t>As an Admin,_x000D_
I want to generate management reports,_x000D_
so that I can support review and decision-making at school level.</t>
  </si>
  <si>
    <t>• Verify that the admin can export management reports in a supported format._x000D_
• Verify that exported reports match the data shown on screen._x000D_
• Verify that generated files can be downloaded successfully.</t>
  </si>
  <si>
    <t>As an Admin,_x000D_
I want to view the audit log,_x000D_
so that I can trace important actions taken in the system.</t>
  </si>
  <si>
    <t>• Verify that the admin can view audit log entries for key system actions._x000D_
• Verify that each log entry shows the action, user, and timestamp._x000D_
• Verify that audit log entries are read-only.</t>
  </si>
  <si>
    <t>As an Admin, _x000D_
I want to reset my password using a secure recovery process, _x000D_
so that I can regain access if I forget it.</t>
  </si>
  <si>
    <t>• Admin can initiate password reset via email link._x000D_
• System generates a time-limited reset token._x000D_
• New password must meet complexity._x000D_
• Password is updated and logged securely.</t>
  </si>
  <si>
    <t>As an Admin,_x000D_
 I want to view login history and failed attempts, _x000D_
so that I can monitor system security.</t>
  </si>
  <si>
    <t>• Admin can access a dashboard showing recent logins by role._x000D_
• Failed login attempts are logged with timestamp and IP._x000D_
• Ability to filter logs by date/role.</t>
  </si>
  <si>
    <t>As an Admin, _x000D_
I want to export workload data to a CSV file,_x000D_
 so that I can share it with other administrators or use it for offline analysis.</t>
  </si>
  <si>
    <t>• Verify that a button or link is available to export the current workload view (or all workload data)._x000D_
• Verify that the exported file is in CSV format and contains all relevant fields (TA name, modules, total hours, etc.)._x000D_
• Verify that special characters and line breaks are handled correctly in the export.</t>
  </si>
  <si>
    <t>Depends on AD-02;_x000D_
useful for reporting</t>
  </si>
  <si>
    <t>As an Admin,_x000D_
 I want to configure the workload threshold (maximum allowed hours) for TAs, _x000D_
so that overload detection can be customised per semester.</t>
  </si>
  <si>
    <t>• Verify that the admin can access a configuration page to set the threshold value._x000D_
• Verify that the threshold is saved and used by the overload detection feature (AD-04)._x000D_
• Verify that only authorised admins can modify the threshold.</t>
  </si>
  <si>
    <t>As an Admin, _x000D_
I want to view historical workload data for each TA across past terms, _x000D_
so that I can analyse long-term allocation patterns.</t>
  </si>
  <si>
    <t>• Verify that the admin can select a past term and see workload data as it was at that time (or aggregated)._x000D_
• Verify that the historical view includes the same metrics as the current view (modules, hours, status)._x000D_
• Verify that data is correctly archived or recomputed from historical records.</t>
  </si>
  <si>
    <t>As an Admin,_x000D_
 I want to see a fairness index (e.g., Gini coefficient or simple distribution chart) of TA workloads, _x000D_
so that I can quickly assess whether assignments are balanced.</t>
  </si>
  <si>
    <t>• Verify that a visual representation (e.g., bar chart or pie chart) shows the distribution of workload among TAs._x000D_
• Verify that a numeric fairness metric (if feasible) is displayed._x000D_
• Verify that the view updates when filters (term/module) are applied.</t>
  </si>
  <si>
    <t>As a Module Organiser (MO),_x000D_
I want to log in to the system,_x000D_
so that I can manage postings and applicants for my module.</t>
  </si>
  <si>
    <t>• Verify that a module organiser can log in with valid credentials._x000D_
• Verify that invalid credentials generate an error message._x000D_
• Verify that successful login opens the organiser dashboard.</t>
  </si>
  <si>
    <t>As a Module Organiser (MO),_x000D_
I want to create a job posting,_x000D_
so that I can advertise teaching assistant opportunities for my course.</t>
  </si>
  <si>
    <t>• Verify that a module organiser can create a job posting with title, _x000D_
description, requirements, and deadline._x000D_
• Verify that required fields must be completed before saving._x000D_
• Verify that a saved job is stored in the system as a draft or open posting.</t>
  </si>
  <si>
    <t>As a Module Organiser (MO),_x000D_
I want to publish a job posting,_x000D_
so that eligible TAs can view and apply for it.</t>
  </si>
  <si>
    <t>• Verify that a created job posting can be published._x000D_
• Verify that a published posting becomes visible to eligible TAs._x000D_
• Verify that unpublished postings remain hidden from TA users.</t>
  </si>
  <si>
    <t>As a Module Organiser (MO),_x000D_
I want to edit a job posting,_x000D_
so that I can keep role details accurate throughout recruitment.</t>
  </si>
  <si>
    <t>• Verify that a module organiser can edit job details after creation._x000D_
• Verify that updated details are saved without losing linked applications._x000D_
• Verify that the revised job information is shown to users after the update.</t>
  </si>
  <si>
    <t>As a Module Organiser (MO),_x000D_
I want to close a job posting,_x000D_
so that applications stop when the deadline is reached or places are filled.</t>
  </si>
  <si>
    <t>• Verify that a module organiser can close an active job posting._x000D_
• Verify that closed jobs no longer accept new applications._x000D_
• Verify that existing application records remain available for review after closure.</t>
  </si>
  <si>
    <t>As a Module Organiser (MO),_x000D_
I want to view applicants for a job,_x000D_
so that I can review who has applied for my vacancy.</t>
  </si>
  <si>
    <t>• Verify that a module organiser can view all applicants linked to a specific job._x000D_
• Verify that each applicant entry shows relevant profile and CV information._x000D_
• Verify that applicants are displayed against the correct vacancy.</t>
  </si>
  <si>
    <t>As a Module Organiser (MO),_x000D_
I want to filter applicants,_x000D_
so that I can identify the most suitable candidates more quickly.</t>
  </si>
  <si>
    <t>• Verify that applicants can be filtered by skills, availability, or experience._x000D_
• Verify that the filtered list only shows matching candidates._x000D_
• Verify that the organiser can reset the filters and return to the full list.</t>
  </si>
  <si>
    <t>As a Module Organiser (MO),_x000D_
I want to shortlist applicants,_x000D_
so that I can narrow down promising candidates for final selection.</t>
  </si>
  <si>
    <t>• Verify that a module organiser can mark an applicant as shortlisted._x000D_
• Verify that shortlisted applicants appear in a shortlist view._x000D_
• Verify that the updated shortlist status is visible to the TA where appropriate.</t>
  </si>
  <si>
    <t>As a Module Organiser (MO),_x000D_
I want to accept or reject applicants,_x000D_
so that I can complete hiring decisions for each vacancy.</t>
  </si>
  <si>
    <t>• Verify that a module organiser can record a final decision as accepted or rejected._x000D_
• Verify that the system warns the organiser when available positions are already filled._x000D_
• Verify that the final decision is reflected in the TA application status.</t>
  </si>
  <si>
    <t>As a Module Organiser (MO),_x000D_
I want to view recruitment summary statistics,_x000D_
so that I can monitor the progress of hiring for a job.</t>
  </si>
  <si>
    <t>• Verify that recruitment summary statistics show the total number of applicants._x000D_
• Verify that the summary distinguishes pending, accepted, and rejected applications._x000D_
• Verify that summary totals match the underlying application data.</t>
  </si>
  <si>
    <t>As a Module Organiser,_x000D_
 I want to restrict access to my module’s job postings to specific TAs, _x000D_
so that only authorized applicants can apply.</t>
  </si>
  <si>
    <t>• MO can select which TAs are allowed to apply to their module._x000D_
• System enforces access restriction during application submission._x000D_
•  MO can view list of authorized TAs.</t>
  </si>
  <si>
    <t>As a Module Organiser ,_x000D_
I want to clone a previous job posting as a template,_x000D_
so that I can quickly create similar postings for new semesters.</t>
  </si>
  <si>
    <t>• Verify that the system provides a "Clone" button that pre-fills all fields except for the dates._x000D_
• Verify that the newly cloned job is set to "Draft" status by default._x000D_
• Verify that any modifications to the cloned copy do not affect the data of the original posting.</t>
  </si>
  <si>
    <t>As a Module Organiser (MO),_x000D_
I want to preview the job posting from a TA’s perspective before publishing,_x000D_
so that I can ensure the layout and information are accurate.</t>
  </si>
  <si>
    <t>• Verify that the MO can click a "Preview" button while in "Draft" status to view the full display page as seen by TAs._x000D_
• Verify that entering preview mode does not change the job status (it remains "Draft")._x000D_
• Verify that the preview interface is visually identical to the TA's application view but disables the submission functionality.</t>
  </si>
  <si>
    <t>As a Module Organiser (MO),_x000D_
I want to withdraw a published job posting if requirements change,_x000D_
so that I can inform existing applicants and stop new ones.</t>
  </si>
  <si>
    <t>• Verify that the MO can withdraw or cancel a job that is currently "Open"._x000D_
• Verify that the system automatically updates the status of all associated applications to "Job Cancelled"._x000D_
• Verify that a confirmation prompt appears before withdrawal to prevent accidental cancellation.</t>
  </si>
  <si>
    <t>As a Module Organiser (MO),_x000D_
I want to view all my job postings and their statuses in a centralized dashboard,_x000D_
so that I can efficiently manage recruitment progress across multiple modules.</t>
  </si>
  <si>
    <t>• Verify that the "My Jobs" page displays all jobs belonging to the logged-in MO, showing Title, Status, Deadline, and Applicant Count._x000D_
• Verify that the MO can filter the list by status (Draft, Open, Closed)._x000D_
• Verify that quick-action links (Edit, Publish, Close, View Applicants) are accessible directly from the dashboard list.</t>
  </si>
  <si>
    <t>As a Module Organiser (MO),_x000D_
I want to add internal evaluation notes,_x000D_
so that I can record my assessment and refer to it during the selection process.</t>
  </si>
  <si>
    <t>• Verify that the MO can enter text notes on an applicant's profile._x000D_
• Verify that these notes are only visible to MOs and Admins._x000D_
• Verify that notes are saved and remain accessible for future review.</t>
  </si>
  <si>
    <t>As a Module Organiser (MO),_x000D_
I want to rate applicants using a scoring system,_x000D_
so that I can compare candidates objectively based on set criteria.</t>
  </si>
  <si>
    <t>• Verify that the MO can assign a numeric score (e.g., 1-5) to candidates._x000D_
• Verify that the system calculates and displays the average score per candidate._x000D_
• Verify that applicants can be sorted by their rating.</t>
  </si>
  <si>
    <t>As a Module Organiser (MO),_x000D_
I want to bulk reject applications,_x000D_
so that I can efficiently manage a high volume of candidates.</t>
  </si>
  <si>
    <t>• Verify that the MO can select multiple candidates for rejection at once._x000D_
• Verify that a confirmation prompt appears before finalizing the bulk action._x000D_
• Verify that the status of all selected candidates is updated to 'Rejected'.</t>
  </si>
  <si>
    <t>As a Module Organiser (MO),_x000D_
I want to set automated filtering rules,_x000D_
so that I can quickly identify applicants who do not meet mandatory requirements.</t>
  </si>
  <si>
    <t>• Verify that the MO can define filters based on GPA or specific profile fields._x000D_
• Verify that applicants failing the filter are automatically moved to an 'Ineligible' list._x000D_
• Verify that the MO can manually override or review filtered applicants.</t>
  </si>
  <si>
    <t>As a Teaching Assistant (TA),_x000D_
I want to register an account,_x000D_
so that I can access the recruitment system with my university email.</t>
  </si>
  <si>
    <t>• Verify that a TA can register using a valid university email address._x000D_
• Verify that required fields are validated before account creation._x000D_
• Verify that a successful registration enables the TA to log in.</t>
  </si>
  <si>
    <t>As a Teaching Assistant (TA),_x000D_
I want to log in to the system,_x000D_
so that I can manage my profile and job applications securely.</t>
  </si>
  <si>
    <t>• Verify that valid credentials allow the TA to access the system._x000D_
• Verify that invalid credentials display an error message._x000D_
• Verify that the TA is redirected to the correct landing page after login.</t>
  </si>
  <si>
    <t>As a Teaching Assistant (TA),_x000D_
I want to create my applicant profile,_x000D_
so that employers can understand my background, skills, and availability.</t>
  </si>
  <si>
    <t>• Verify that the TA can create a profile with name, student ID, skills, and availability._x000D_
• Verify that mandatory profile fields cannot be left blank._x000D_
• Verify that the saved profile can be viewed after submission.</t>
  </si>
  <si>
    <t>As a Teaching Assistant (TA),_x000D_
I want to edit my applicant profile,_x000D_
so that my information stays accurate and up to date.</t>
  </si>
  <si>
    <t>• Verify that an existing profile can be edited._x000D_
• Verify that updated profile information is saved successfully._x000D_
• Verify that the latest profile details are displayed when the page is reopened.</t>
  </si>
  <si>
    <t>As a Teaching Assistant (TA),_x000D_
I want to upload my CV,_x000D_
so that module organisers can review my qualifications during recruitment.</t>
  </si>
  <si>
    <t>• Verify that the TA can upload a CV in an allowed file format._x000D_
• Verify that an invalid file type is rejected with a clear message._x000D_
• Verify that the uploaded CV is visible to authorised module organisers.</t>
  </si>
  <si>
    <t>As a Teaching Assistant (TA),_x000D_
I want to browse available jobs,_x000D_
so that I can identify roles that match my interests and schedule.</t>
  </si>
  <si>
    <t>• Verify that all open positions are displayed to the TA._x000D_
• Verify that each job listing shows key information such as title, module, deadline, and workload._x000D_
• Verify that closed positions are not shown in the default results.</t>
  </si>
  <si>
    <t>As a Teaching Assistant (TA),_x000D_
I want to search and filter jobs,_x000D_
so that I can find suitable opportunities more efficiently.</t>
  </si>
  <si>
    <t>• Verify that jobs can be searched by keyword._x000D_
• Verify that results can be filtered by module, time slot, or workload._x000D_
• Verify that filtered results update correctly when search conditions change.</t>
  </si>
  <si>
    <t>As a Teaching Assistant (TA),_x000D_
I want to apply for a job,_x000D_
so that I can be considered for teaching assistant work.</t>
  </si>
  <si>
    <t>• Verify that only eligible TAs with completed profile details can submit an application._x000D_
• Verify that a successful application creates a new application record._x000D_
• Verify that the system prevents duplicate applications for the same job.</t>
  </si>
  <si>
    <t>As a Teaching Assistant (TA),_x000D_
I want to track my application status,_x000D_
so that I know the progress and outcome of each application.</t>
  </si>
  <si>
    <t>• Verify that the TA can view the status of every submitted application._x000D_
• Verify that statuses such as Submitted, Under Review, Accepted, and Rejected are displayed correctly._x000D_
• Verify that status changes are reflected without altering the original application record.</t>
  </si>
  <si>
    <t>As a Teaching Assistant (TA),_x000D_
I want to receive notifications when my application status changes,_x000D_
so that I do not miss important updates.</t>
  </si>
  <si>
    <t>• Verify that the TA receives a notification when an application status changes._x000D_
• Verify that unread notifications are clearly highlighted._x000D_
• Verify that the TA can open a notification to review the latest update.</t>
  </si>
  <si>
    <t>Update Personal Profile</t>
  </si>
  <si>
    <t>As a Teaching Assistant (TA),_x000D_
I want to edit my profile information after registration, _x000D_
so that my details remain accurate.</t>
  </si>
  <si>
    <t>• TA can update name, contact info, and bio._x000D_
• Changes are saved to the user profile text file.3._x000D_
System logs last updated timestamp.</t>
  </si>
  <si>
    <t>As a Teaching Assistant(TA),_x000D_
 I want to request elevated permissions (e.g., to apply for multiple modules),_x000D_
 so that I can express interest in broader opportunities.</t>
  </si>
  <si>
    <t>• TA can submit a request form explaining desired role change._x000D_
• Request is routed to Admin for approval._x000D_
• Admin receives notification and can approve/deny._x000D_
• Status is visible to TA.</t>
  </si>
  <si>
    <t>As a Teaching Assistant(TA),_x000D_
I want to view detailed information about a job posting, so that I can decide whether the position is suitable before applying.</t>
  </si>
  <si>
    <t>• Verify that the TA can open a job listing to view detailed information._x000D_
• Verify that details include module name, responsibilities, workload, and deadline._x000D_
• Verify that the page clearly shows whether the job is still open</t>
  </si>
  <si>
    <t>As a Teaching Assistant(TA),_x000D_
I want to withdraw a submitted job application, so that I can correct mistakes or change my decision.</t>
  </si>
  <si>
    <t>• Verify that a TA can withdraw an application before it is reviewed_x000D_
• Verify that the application status changes to “Withdrawn”._x000D_
• Verify that withdrawn applications cannot be reconsidered unless reapplied.</t>
  </si>
  <si>
    <t>As a Teaching Assistant(TA),_x000D_
 I want to view my past applications,_x000D_
so that I can track my previous job attempts and outcomes.</t>
  </si>
  <si>
    <t>• Verify that all submitted applications are listed._x000D_
• Verify that each record displays job title, submission date, and status._x000D_
• Verify that the list includes both active and closed applications.</t>
  </si>
  <si>
    <t>As a Teaching Assistant(TA),_x000D_
I want to update my weekly availability,,_x000D_
 so that module organisers can assign work based on my schedule.</t>
  </si>
  <si>
    <t>• Verify that the TA can update available time slots._x000D_
• Verify that changes are saved correctly._x000D_
• Verify that updated availability appears in the profile view.</t>
  </si>
  <si>
    <t>As a Teaching Assistant(TA),_x000D_
 I want to log out of the system,_x000D_
 so that my account remains secure when I finish using the platform.</t>
  </si>
  <si>
    <t>• Verify that the TA can log out successfully._x000D_
• Verify that the session ends immediately after logout._x000D_
• Verify that the TA must log in again to access protected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</si>
</sst>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;@"/>
  </numFmts>
  <fonts count="12">
    <font>
      <sz val="10"/>
      <color theme="1"/>
      <name val="Calibri"/>
      <family val="2"/>
      <charset val="134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0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6E6E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E9E8"/>
      </patternFill>
    </fill>
    <fill>
      <patternFill patternType="solid">
        <fgColor rgb="FFF4CCCC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F7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D7EA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/>
      <right/>
      <top/>
      <bottom/>
      <diagonal/>
    </border>
    <border>
      <left/>
      <right/>
      <top style="thin">
        <color rgb="FFB9D7EA"/>
      </top>
      <bottom style="thin">
        <color rgb="FFB9D7EA"/>
      </bottom>
      <diagonal/>
    </border>
    <border>
      <left/>
      <right/>
      <top/>
      <bottom style="dashed">
        <color rgb="FFDDDDDD"/>
      </bottom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/>
      <diagonal/>
    </border>
  </borders>
  <cellStyleXfs count="2">
    <xf numFmtId="0" fontId="0" fillId="0" borderId="0">
      <alignment vertical="center"/>
    </xf>
    <xf numFmtId="0" fontId="8" fillId="15" borderId="4"/>
  </cellStyleXfs>
  <cellXfs count="61">
    <xf numFmtId="0" fontId="0" fillId="0" borderId="0" xfId="0">
      <alignment vertical="center"/>
    </xf>
    <xf numFmtId="0" fontId="2" fillId="2" borderId="1" xfId="1" applyFont="1" applyFill="1" applyBorder="1" applyAlignment="1">
      <alignment vertical="center" wrapText="1"/>
    </xf>
    <xf numFmtId="0" fontId="8" fillId="15" borderId="1" xfId="1" applyBorder="1" applyAlignment="1">
      <alignment vertical="center" wrapText="1"/>
    </xf>
    <xf numFmtId="0" fontId="8" fillId="3" borderId="1" xfId="1" applyFill="1" applyBorder="1" applyAlignment="1">
      <alignment vertical="center" wrapText="1"/>
    </xf>
    <xf numFmtId="0" fontId="8" fillId="4" borderId="1" xfId="1" applyFill="1" applyBorder="1" applyAlignment="1">
      <alignment vertical="center" wrapText="1"/>
    </xf>
    <xf numFmtId="0" fontId="8" fillId="5" borderId="1" xfId="1" applyFill="1" applyBorder="1" applyAlignment="1">
      <alignment vertical="center" wrapText="1"/>
    </xf>
    <xf numFmtId="0" fontId="8" fillId="6" borderId="1" xfId="1" applyFill="1" applyBorder="1" applyAlignment="1">
      <alignment vertical="center" wrapText="1"/>
    </xf>
    <xf numFmtId="0" fontId="8" fillId="7" borderId="1" xfId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176" fontId="8" fillId="15" borderId="1" xfId="1" applyNumberFormat="1" applyBorder="1" applyAlignment="1">
      <alignment vertical="center" wrapText="1"/>
    </xf>
    <xf numFmtId="0" fontId="2" fillId="2" borderId="1" xfId="1" applyFont="1" applyFill="1" applyBorder="1" applyAlignment="1">
      <alignment vertical="center"/>
    </xf>
    <xf numFmtId="0" fontId="8" fillId="15" borderId="1" xfId="1" applyBorder="1" applyAlignment="1">
      <alignment vertical="top" wrapText="1"/>
    </xf>
    <xf numFmtId="0" fontId="2" fillId="2" borderId="1" xfId="1" applyFont="1" applyFill="1" applyBorder="1" applyAlignment="1">
      <alignment horizontal="center" vertical="center" wrapText="1"/>
    </xf>
    <xf numFmtId="0" fontId="8" fillId="3" borderId="1" xfId="1" applyFill="1" applyBorder="1" applyAlignment="1">
      <alignment vertical="top" wrapText="1"/>
    </xf>
    <xf numFmtId="176" fontId="8" fillId="15" borderId="1" xfId="1" applyNumberFormat="1" applyBorder="1" applyAlignment="1">
      <alignment vertical="top" wrapText="1"/>
    </xf>
    <xf numFmtId="0" fontId="8" fillId="4" borderId="1" xfId="1" applyFill="1" applyBorder="1" applyAlignment="1">
      <alignment vertical="top" wrapText="1"/>
    </xf>
    <xf numFmtId="0" fontId="8" fillId="5" borderId="1" xfId="1" applyFill="1" applyBorder="1" applyAlignment="1">
      <alignment vertical="top" wrapText="1"/>
    </xf>
    <xf numFmtId="0" fontId="8" fillId="6" borderId="1" xfId="1" applyFill="1" applyBorder="1" applyAlignment="1">
      <alignment vertical="top" wrapText="1"/>
    </xf>
    <xf numFmtId="0" fontId="8" fillId="7" borderId="1" xfId="1" applyFill="1" applyBorder="1" applyAlignment="1">
      <alignment vertical="top" wrapText="1"/>
    </xf>
    <xf numFmtId="0" fontId="4" fillId="15" borderId="1" xfId="1" applyFont="1" applyBorder="1" applyAlignment="1">
      <alignment vertical="top" wrapText="1"/>
    </xf>
    <xf numFmtId="0" fontId="8" fillId="9" borderId="1" xfId="1" applyFill="1" applyBorder="1" applyAlignment="1">
      <alignment vertical="top" wrapText="1"/>
    </xf>
    <xf numFmtId="0" fontId="8" fillId="10" borderId="1" xfId="1" applyFill="1" applyBorder="1" applyAlignment="1">
      <alignment vertical="top" wrapText="1"/>
    </xf>
    <xf numFmtId="0" fontId="5" fillId="15" borderId="1" xfId="1" applyFont="1" applyBorder="1" applyAlignment="1">
      <alignment vertical="top" wrapText="1"/>
    </xf>
    <xf numFmtId="0" fontId="8" fillId="11" borderId="1" xfId="1" applyFill="1" applyBorder="1" applyAlignment="1">
      <alignment vertical="top" wrapText="1"/>
    </xf>
    <xf numFmtId="0" fontId="4" fillId="12" borderId="1" xfId="1" applyFont="1" applyFill="1" applyBorder="1" applyAlignment="1">
      <alignment vertical="top" wrapText="1"/>
    </xf>
    <xf numFmtId="177" fontId="8" fillId="15" borderId="1" xfId="1" applyNumberFormat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8" fillId="13" borderId="1" xfId="1" applyFill="1" applyBorder="1" applyAlignment="1">
      <alignment vertical="top" wrapText="1"/>
    </xf>
    <xf numFmtId="0" fontId="7" fillId="9" borderId="1" xfId="1" applyFont="1" applyFill="1" applyBorder="1" applyAlignment="1">
      <alignment vertical="top" wrapText="1"/>
    </xf>
    <xf numFmtId="0" fontId="7" fillId="15" borderId="1" xfId="1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vertical="center" wrapText="1"/>
    </xf>
    <xf numFmtId="176" fontId="7" fillId="15" borderId="1" xfId="1" applyNumberFormat="1" applyFont="1" applyBorder="1" applyAlignment="1">
      <alignment vertical="top" wrapText="1"/>
    </xf>
    <xf numFmtId="0" fontId="7" fillId="11" borderId="1" xfId="1" applyFont="1" applyFill="1" applyBorder="1" applyAlignment="1">
      <alignment vertical="top" wrapText="1"/>
    </xf>
    <xf numFmtId="0" fontId="7" fillId="10" borderId="1" xfId="1" applyFont="1" applyFill="1" applyBorder="1" applyAlignment="1">
      <alignment vertical="top" wrapText="1"/>
    </xf>
    <xf numFmtId="176" fontId="6" fillId="15" borderId="1" xfId="1" applyNumberFormat="1" applyFont="1" applyBorder="1" applyAlignment="1">
      <alignment vertical="top" wrapText="1"/>
    </xf>
    <xf numFmtId="177" fontId="4" fillId="15" borderId="1" xfId="1" applyNumberFormat="1" applyFont="1" applyBorder="1" applyAlignment="1">
      <alignment vertical="top"/>
    </xf>
    <xf numFmtId="177" fontId="5" fillId="15" borderId="1" xfId="1" applyNumberFormat="1" applyFont="1" applyBorder="1" applyAlignment="1">
      <alignment vertical="top"/>
    </xf>
    <xf numFmtId="0" fontId="8" fillId="14" borderId="1" xfId="1" applyFill="1" applyBorder="1" applyAlignment="1">
      <alignment vertical="top" wrapText="1"/>
    </xf>
    <xf numFmtId="0" fontId="1" fillId="2" borderId="4" xfId="1" applyFont="1" applyFill="1" applyAlignment="1">
      <alignment horizontal="center" vertical="center"/>
    </xf>
    <xf numFmtId="0" fontId="0" fillId="0" borderId="0" xfId="0">
      <alignment vertical="center"/>
    </xf>
    <xf numFmtId="0" fontId="10" fillId="17" borderId="7" xfId="0" applyNumberFormat="1" applyFont="1" applyFill="1" applyBorder="1" applyAlignment="1">
      <alignment horizontal="center" vertical="center" wrapText="1"/>
    </xf>
    <xf numFmtId="0" fontId="10" fillId="17" borderId="7" xfId="0" applyNumberFormat="1" applyFont="1" applyFill="1" applyBorder="1" applyAlignment="1">
      <alignment horizontal="left" vertical="center" wrapText="1"/>
    </xf>
    <xf numFmtId="0" fontId="10" fillId="17" borderId="7" xfId="0" applyFont="1" applyFill="1" applyBorder="1" applyAlignment="1">
      <alignment horizontal="center" vertical="center" wrapText="1"/>
    </xf>
    <xf numFmtId="14" fontId="10" fillId="17" borderId="7" xfId="0" applyNumberFormat="1" applyFont="1" applyFill="1" applyBorder="1" applyAlignment="1">
      <alignment horizontal="center" vertical="center" wrapText="1"/>
    </xf>
    <xf numFmtId="0" fontId="10" fillId="16" borderId="7" xfId="0" applyNumberFormat="1" applyFont="1" applyFill="1" applyBorder="1" applyAlignment="1">
      <alignment horizontal="center" vertical="center" wrapText="1"/>
    </xf>
    <xf numFmtId="0" fontId="10" fillId="16" borderId="7" xfId="0" applyNumberFormat="1" applyFont="1" applyFill="1" applyBorder="1" applyAlignment="1">
      <alignment horizontal="left" vertical="center" wrapText="1"/>
    </xf>
    <xf numFmtId="0" fontId="10" fillId="16" borderId="7" xfId="0" applyFont="1" applyFill="1" applyBorder="1" applyAlignment="1">
      <alignment horizontal="center" vertical="center" wrapText="1"/>
    </xf>
    <xf numFmtId="14" fontId="10" fillId="16" borderId="7" xfId="0" applyNumberFormat="1" applyFont="1" applyFill="1" applyBorder="1" applyAlignment="1">
      <alignment horizontal="center" vertical="center" wrapText="1"/>
    </xf>
    <xf numFmtId="0" fontId="10" fillId="17" borderId="6" xfId="0" applyNumberFormat="1" applyFont="1" applyFill="1" applyBorder="1" applyAlignment="1">
      <alignment horizontal="center" vertical="center" wrapText="1"/>
    </xf>
    <xf numFmtId="0" fontId="10" fillId="17" borderId="6" xfId="0" applyNumberFormat="1" applyFont="1" applyFill="1" applyBorder="1" applyAlignment="1">
      <alignment horizontal="left" vertical="center" wrapText="1"/>
    </xf>
    <xf numFmtId="0" fontId="10" fillId="17" borderId="6" xfId="0" applyFont="1" applyFill="1" applyBorder="1" applyAlignment="1">
      <alignment horizontal="center" vertical="center" wrapText="1"/>
    </xf>
    <xf numFmtId="14" fontId="10" fillId="17" borderId="6" xfId="0" applyNumberFormat="1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left" vertical="center" wrapText="1"/>
    </xf>
    <xf numFmtId="0" fontId="10" fillId="17" borderId="8" xfId="0" applyNumberFormat="1" applyFont="1" applyFill="1" applyBorder="1" applyAlignment="1">
      <alignment horizontal="center" vertical="center" wrapText="1"/>
    </xf>
    <xf numFmtId="0" fontId="10" fillId="17" borderId="8" xfId="0" applyNumberFormat="1" applyFont="1" applyFill="1" applyBorder="1" applyAlignment="1">
      <alignment horizontal="left" vertical="center" wrapText="1"/>
    </xf>
    <xf numFmtId="0" fontId="10" fillId="17" borderId="8" xfId="0" applyFont="1" applyFill="1" applyBorder="1" applyAlignment="1">
      <alignment horizontal="center" vertical="center" wrapText="1"/>
    </xf>
    <xf numFmtId="14" fontId="10" fillId="17" borderId="8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2"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CF4CC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fill>
        <patternFill patternType="solid">
          <fgColor indexed="64"/>
          <bgColor rgb="FFB9D7EA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B9D7EA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19" formatCode="yyyy/m/d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19" formatCode="yyyy/m/d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dashed">
          <color rgb="FFDDDDDD"/>
        </top>
        <bottom style="dashed">
          <color rgb="FFDDDDDD"/>
        </bottom>
        <vertical/>
        <horizontal style="dashed">
          <color rgb="FFDDDDDD"/>
        </horizontal>
      </border>
    </dxf>
    <dxf>
      <border>
        <top style="dashed">
          <color rgb="FFDDDDDD"/>
        </top>
      </border>
    </dxf>
    <dxf>
      <border diagonalUp="0" diagonalDown="0">
        <left/>
        <right/>
        <top style="thin">
          <color rgb="FFB9D7EA"/>
        </top>
        <bottom style="thin">
          <color rgb="FFB9D7EA"/>
        </bottom>
      </border>
    </dxf>
    <dxf>
      <font>
        <color rgb="FF000000"/>
        <family val="2"/>
        <charset val="134"/>
      </font>
      <fill>
        <patternFill patternType="solid">
          <fgColor indexed="64"/>
          <bgColor rgb="FFFFFFFF"/>
        </patternFill>
      </fill>
    </dxf>
    <dxf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FCF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1B2997-A16C-44DD-94FE-F72B5A2CCD58}" autoFormatId="16" applyNumberFormats="0" applyBorderFormats="0" applyFontFormats="0" applyPatternFormats="0" applyAlignmentFormats="0" applyWidthHeightFormats="0">
  <queryTableRefresh nextId="12">
    <queryTableFields count="11">
      <queryTableField id="1" name="Role" tableColumnId="1"/>
      <queryTableField id="2" name="Story ID" tableColumnId="2"/>
      <queryTableField id="3" name="Story Name" tableColumnId="3"/>
      <queryTableField id="4" name="Description" tableColumnId="4"/>
      <queryTableField id="5" name="Priority" tableColumnId="5"/>
      <queryTableField id="6" name="Iteration number" tableColumnId="6"/>
      <queryTableField id="7" name="Acceptance Criteria" tableColumnId="7"/>
      <queryTableField id="8" name="Estimation (Story Points)" tableColumnId="8"/>
      <queryTableField id="9" name="Notes" tableColumnId="9"/>
      <queryTableField id="10" name="Date started" tableColumnId="10"/>
      <queryTableField id="11" name="Date finish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3468C-9414-498B-A456-DC9A71C8EFA0}" name="require" displayName="require" ref="A1:K53" tableType="queryTable" totalsRowShown="0" headerRowDxfId="5" dataDxfId="20" headerRowBorderDxfId="6" tableBorderDxfId="19" totalsRowBorderDxfId="18">
  <autoFilter ref="A1:K53" xr:uid="{CE93468C-9414-498B-A456-DC9A71C8EFA0}"/>
  <sortState xmlns:xlrd2="http://schemas.microsoft.com/office/spreadsheetml/2017/richdata2" ref="A2:K53">
    <sortCondition ref="F1:F53"/>
  </sortState>
  <tableColumns count="11">
    <tableColumn id="1" xr3:uid="{CC38E74D-B9AA-42F5-9F1E-839781DA8D8F}" uniqueName="1" name="Role" queryTableFieldId="1" dataDxfId="17"/>
    <tableColumn id="2" xr3:uid="{7487C65C-44D9-488F-9C3D-45D87EA28C62}" uniqueName="2" name="Story ID" queryTableFieldId="2" dataDxfId="16"/>
    <tableColumn id="3" xr3:uid="{68FC77C7-9832-41D9-9067-514516828CD0}" uniqueName="3" name="Story Name" queryTableFieldId="3" dataDxfId="15"/>
    <tableColumn id="4" xr3:uid="{F22E6DAF-57E6-40E5-9124-361C5247F901}" uniqueName="4" name="Description" queryTableFieldId="4" dataDxfId="14"/>
    <tableColumn id="5" xr3:uid="{E42B2E20-7B6B-4229-8EFC-AA22669DCFA1}" uniqueName="5" name="Priority" queryTableFieldId="5" dataDxfId="13"/>
    <tableColumn id="6" xr3:uid="{71A3DD7D-1D6D-4A28-9C06-6860A42C5180}" uniqueName="6" name="Iteration number" queryTableFieldId="6" dataDxfId="12"/>
    <tableColumn id="7" xr3:uid="{62C8A843-6BAC-44A5-A9B6-FB0513402C3B}" uniqueName="7" name="Acceptance Criteria" queryTableFieldId="7" dataDxfId="11"/>
    <tableColumn id="8" xr3:uid="{E900DD58-F617-42DC-93BB-FF0C3CFDEF59}" uniqueName="8" name="Estimation (Story Points)" queryTableFieldId="8" dataDxfId="10"/>
    <tableColumn id="9" xr3:uid="{C7373CA8-B999-4030-AD32-C3C6F921804E}" uniqueName="9" name="Notes" queryTableFieldId="9" dataDxfId="9"/>
    <tableColumn id="10" xr3:uid="{693B3AB9-ADC4-4070-AC7E-069E56941B34}" uniqueName="10" name="Date started" queryTableFieldId="10" dataDxfId="8"/>
    <tableColumn id="11" xr3:uid="{26238F5B-1220-433C-A0AC-1EBD6E5BC22A}" uniqueName="11" name="Date finished" queryTableFieldId="11" dataDxfId="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17"/>
  <sheetViews>
    <sheetView showGridLines="0" workbookViewId="0">
      <selection activeCell="B17" sqref="B17"/>
    </sheetView>
  </sheetViews>
  <sheetFormatPr defaultRowHeight="13"/>
  <cols>
    <col min="1" max="1" width="22" customWidth="1"/>
    <col min="2" max="2" width="72" customWidth="1"/>
    <col min="3" max="3" width="14" customWidth="1"/>
    <col min="4" max="4" width="10" customWidth="1"/>
    <col min="6" max="6" width="14" customWidth="1"/>
    <col min="7" max="7" width="10" customWidth="1"/>
  </cols>
  <sheetData>
    <row r="1" spans="1:7" ht="21">
      <c r="A1" s="41" t="s">
        <v>123</v>
      </c>
      <c r="B1" s="42"/>
      <c r="C1" s="42"/>
      <c r="D1" s="42"/>
      <c r="E1" s="42"/>
      <c r="F1" s="42"/>
      <c r="G1" s="42"/>
    </row>
    <row r="3" spans="1:7" ht="14.5">
      <c r="A3" s="1" t="s">
        <v>124</v>
      </c>
      <c r="B3" s="2"/>
      <c r="C3" s="1" t="s">
        <v>125</v>
      </c>
      <c r="D3" s="2"/>
      <c r="E3" s="2"/>
      <c r="F3" s="1" t="s">
        <v>126</v>
      </c>
      <c r="G3" s="2"/>
    </row>
    <row r="4" spans="1:7" ht="29">
      <c r="A4" s="2" t="s">
        <v>127</v>
      </c>
      <c r="B4" s="2"/>
      <c r="C4" s="2" t="s">
        <v>128</v>
      </c>
      <c r="D4" s="2">
        <f>COUNTA(TA!A2:A1048574)</f>
        <v>17</v>
      </c>
      <c r="E4" s="2"/>
      <c r="F4" s="3" t="s">
        <v>129</v>
      </c>
      <c r="G4" s="2">
        <f>COUNTIF('All Requirements'!E:E,"very high")</f>
        <v>15</v>
      </c>
    </row>
    <row r="5" spans="1:7" ht="14.5">
      <c r="A5" s="2" t="s">
        <v>128</v>
      </c>
      <c r="B5" s="2"/>
      <c r="C5" s="2" t="s">
        <v>130</v>
      </c>
      <c r="D5" s="2">
        <f>COUNTA(MO!A2:A1048576)</f>
        <v>19</v>
      </c>
      <c r="E5" s="2"/>
      <c r="F5" s="4" t="s">
        <v>131</v>
      </c>
      <c r="G5" s="2">
        <f>COUNTIF('All Requirements'!E:E,"high")</f>
        <v>16</v>
      </c>
    </row>
    <row r="6" spans="1:7" ht="14.5">
      <c r="A6" s="2" t="s">
        <v>130</v>
      </c>
      <c r="B6" s="2"/>
      <c r="C6" s="2" t="s">
        <v>132</v>
      </c>
      <c r="D6" s="2">
        <f>COUNTA(Admin!A2:A1048576)</f>
        <v>16</v>
      </c>
      <c r="E6" s="2"/>
      <c r="F6" s="5" t="s">
        <v>133</v>
      </c>
      <c r="G6" s="2">
        <f>COUNTIF('All Requirements'!E:E,"medium")</f>
        <v>14</v>
      </c>
    </row>
    <row r="7" spans="1:7" ht="14.5">
      <c r="A7" s="2" t="s">
        <v>132</v>
      </c>
      <c r="B7" s="2"/>
      <c r="C7" s="2"/>
      <c r="D7" s="2"/>
      <c r="E7" s="2"/>
      <c r="F7" s="6" t="s">
        <v>134</v>
      </c>
      <c r="G7" s="2">
        <f>COUNTIF('All Requirements'!E:E,"low")</f>
        <v>6</v>
      </c>
    </row>
    <row r="8" spans="1:7" ht="14.5">
      <c r="A8" s="2"/>
      <c r="B8" s="2"/>
      <c r="C8" s="2"/>
      <c r="D8" s="2"/>
      <c r="E8" s="2"/>
      <c r="F8" s="7" t="s">
        <v>135</v>
      </c>
      <c r="G8" s="2">
        <f>COUNTIF('All Requirements'!E:E,"very low")</f>
        <v>1</v>
      </c>
    </row>
    <row r="9" spans="1:7" ht="14.5">
      <c r="A9" s="1" t="s">
        <v>136</v>
      </c>
      <c r="B9" s="2"/>
      <c r="C9" s="2"/>
      <c r="D9" s="2"/>
      <c r="E9" s="2"/>
      <c r="F9" s="2"/>
      <c r="G9" s="2"/>
    </row>
    <row r="10" spans="1:7" ht="14.5">
      <c r="A10" s="8" t="s">
        <v>137</v>
      </c>
      <c r="B10" s="8" t="s">
        <v>138</v>
      </c>
      <c r="C10" s="8" t="s">
        <v>139</v>
      </c>
      <c r="D10" s="2"/>
      <c r="E10" s="2"/>
      <c r="F10" s="2"/>
      <c r="G10" s="2"/>
    </row>
    <row r="11" spans="1:7" ht="14.5">
      <c r="A11" s="2">
        <v>1</v>
      </c>
      <c r="B11" s="9">
        <v>46097</v>
      </c>
      <c r="C11" s="9">
        <v>46110</v>
      </c>
      <c r="D11" s="2"/>
      <c r="E11" s="2"/>
      <c r="F11" s="2"/>
      <c r="G11" s="2"/>
    </row>
    <row r="12" spans="1:7" ht="14.5">
      <c r="A12" s="2">
        <v>2</v>
      </c>
      <c r="B12" s="9">
        <v>46111</v>
      </c>
      <c r="C12" s="9">
        <v>46124</v>
      </c>
      <c r="D12" s="2"/>
      <c r="E12" s="2"/>
      <c r="F12" s="2"/>
      <c r="G12" s="2"/>
    </row>
    <row r="13" spans="1:7" ht="14.5">
      <c r="A13" s="2">
        <v>3</v>
      </c>
      <c r="B13" s="9">
        <v>46125</v>
      </c>
      <c r="C13" s="9">
        <v>46138</v>
      </c>
      <c r="D13" s="2"/>
      <c r="E13" s="2"/>
      <c r="F13" s="2"/>
      <c r="G13" s="2"/>
    </row>
    <row r="14" spans="1:7" ht="14.5">
      <c r="A14" s="2">
        <v>4</v>
      </c>
      <c r="B14" s="9">
        <v>46139</v>
      </c>
      <c r="C14" s="9">
        <v>46152</v>
      </c>
      <c r="D14" s="2"/>
      <c r="E14" s="2"/>
      <c r="F14" s="2"/>
      <c r="G14" s="2"/>
    </row>
    <row r="15" spans="1:7" ht="42" customHeight="1">
      <c r="A15" s="1">
        <v>5</v>
      </c>
      <c r="B15" s="9">
        <v>46153</v>
      </c>
      <c r="C15" s="9">
        <v>46166</v>
      </c>
      <c r="D15" s="2"/>
      <c r="E15" s="2"/>
      <c r="F15" s="2"/>
      <c r="G15" s="2"/>
    </row>
    <row r="17" spans="1:2" ht="42" customHeight="1">
      <c r="A17" s="10" t="s">
        <v>140</v>
      </c>
      <c r="B17" s="11" t="s">
        <v>141</v>
      </c>
    </row>
  </sheetData>
  <mergeCells count="1">
    <mergeCell ref="A1:G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K53"/>
  <sheetViews>
    <sheetView showGridLines="0" tabSelected="1" zoomScale="85" zoomScaleNormal="85" workbookViewId="0">
      <selection activeCell="A2" sqref="A2"/>
    </sheetView>
  </sheetViews>
  <sheetFormatPr defaultRowHeight="13"/>
  <cols>
    <col min="1" max="1" width="20.59765625" customWidth="1"/>
    <col min="2" max="2" width="24.19921875" customWidth="1"/>
    <col min="3" max="3" width="47.19921875" customWidth="1"/>
    <col min="4" max="4" width="60.3984375" customWidth="1"/>
    <col min="5" max="5" width="23.3984375" customWidth="1"/>
    <col min="6" max="6" width="34.09765625" customWidth="1"/>
    <col min="7" max="7" width="60.3984375" customWidth="1"/>
    <col min="8" max="8" width="42.5" customWidth="1"/>
    <col min="9" max="9" width="60.3984375" customWidth="1"/>
    <col min="10" max="10" width="28.8984375" customWidth="1"/>
    <col min="11" max="11" width="30" customWidth="1"/>
  </cols>
  <sheetData>
    <row r="1" spans="1:11" ht="25.5" customHeight="1">
      <c r="A1" s="55" t="s">
        <v>142</v>
      </c>
      <c r="B1" s="55" t="s">
        <v>143</v>
      </c>
      <c r="C1" s="55" t="s">
        <v>144</v>
      </c>
      <c r="D1" s="56" t="s">
        <v>145</v>
      </c>
      <c r="E1" s="55" t="s">
        <v>146</v>
      </c>
      <c r="F1" s="55" t="s">
        <v>147</v>
      </c>
      <c r="G1" s="56" t="s">
        <v>148</v>
      </c>
      <c r="H1" s="55" t="s">
        <v>149</v>
      </c>
      <c r="I1" s="56" t="s">
        <v>140</v>
      </c>
      <c r="J1" s="55" t="s">
        <v>150</v>
      </c>
      <c r="K1" s="55" t="s">
        <v>151</v>
      </c>
    </row>
    <row r="2" spans="1:11" ht="54.5" customHeight="1">
      <c r="A2" s="51" t="s">
        <v>132</v>
      </c>
      <c r="B2" s="51" t="s">
        <v>152</v>
      </c>
      <c r="C2" s="51" t="s">
        <v>153</v>
      </c>
      <c r="D2" s="52" t="s">
        <v>351</v>
      </c>
      <c r="E2" s="51" t="s">
        <v>129</v>
      </c>
      <c r="F2" s="53">
        <v>1</v>
      </c>
      <c r="G2" s="52" t="s">
        <v>352</v>
      </c>
      <c r="H2" s="53">
        <v>2</v>
      </c>
      <c r="I2" s="52" t="s">
        <v>156</v>
      </c>
      <c r="J2" s="54">
        <v>46097</v>
      </c>
      <c r="K2" s="54">
        <v>46099</v>
      </c>
    </row>
    <row r="3" spans="1:11" ht="98" customHeight="1">
      <c r="A3" s="43" t="s">
        <v>132</v>
      </c>
      <c r="B3" s="43" t="s">
        <v>64</v>
      </c>
      <c r="C3" s="43" t="s">
        <v>65</v>
      </c>
      <c r="D3" s="44" t="s">
        <v>371</v>
      </c>
      <c r="E3" s="43" t="s">
        <v>129</v>
      </c>
      <c r="F3" s="45">
        <v>1</v>
      </c>
      <c r="G3" s="44" t="s">
        <v>372</v>
      </c>
      <c r="H3" s="45">
        <v>3</v>
      </c>
      <c r="I3" s="44" t="s">
        <v>68</v>
      </c>
      <c r="J3" s="46">
        <v>46157</v>
      </c>
      <c r="K3" s="46">
        <v>46164</v>
      </c>
    </row>
    <row r="4" spans="1:11" ht="69" customHeight="1">
      <c r="A4" s="43" t="s">
        <v>130</v>
      </c>
      <c r="B4" s="43" t="s">
        <v>157</v>
      </c>
      <c r="C4" s="43" t="s">
        <v>158</v>
      </c>
      <c r="D4" s="44" t="s">
        <v>384</v>
      </c>
      <c r="E4" s="43" t="s">
        <v>129</v>
      </c>
      <c r="F4" s="45">
        <v>1</v>
      </c>
      <c r="G4" s="44" t="s">
        <v>385</v>
      </c>
      <c r="H4" s="45">
        <v>2</v>
      </c>
      <c r="I4" s="44" t="s">
        <v>161</v>
      </c>
      <c r="J4" s="46">
        <v>46097</v>
      </c>
      <c r="K4" s="46">
        <v>46099</v>
      </c>
    </row>
    <row r="5" spans="1:11" ht="83.5" customHeight="1">
      <c r="A5" s="47" t="s">
        <v>130</v>
      </c>
      <c r="B5" s="47" t="s">
        <v>162</v>
      </c>
      <c r="C5" s="47" t="s">
        <v>163</v>
      </c>
      <c r="D5" s="48" t="s">
        <v>386</v>
      </c>
      <c r="E5" s="47" t="s">
        <v>129</v>
      </c>
      <c r="F5" s="49">
        <v>1</v>
      </c>
      <c r="G5" s="48" t="s">
        <v>387</v>
      </c>
      <c r="H5" s="49">
        <v>5</v>
      </c>
      <c r="I5" s="48" t="s">
        <v>166</v>
      </c>
      <c r="J5" s="50">
        <v>46098</v>
      </c>
      <c r="K5" s="50">
        <v>46103</v>
      </c>
    </row>
    <row r="6" spans="1:11" ht="98" customHeight="1">
      <c r="A6" s="43" t="s">
        <v>130</v>
      </c>
      <c r="B6" s="43" t="s">
        <v>167</v>
      </c>
      <c r="C6" s="43" t="s">
        <v>168</v>
      </c>
      <c r="D6" s="44" t="s">
        <v>388</v>
      </c>
      <c r="E6" s="43" t="s">
        <v>129</v>
      </c>
      <c r="F6" s="45">
        <v>1</v>
      </c>
      <c r="G6" s="44" t="s">
        <v>389</v>
      </c>
      <c r="H6" s="45">
        <v>3</v>
      </c>
      <c r="I6" s="44" t="s">
        <v>171</v>
      </c>
      <c r="J6" s="46">
        <v>46101</v>
      </c>
      <c r="K6" s="46">
        <v>46105</v>
      </c>
    </row>
    <row r="7" spans="1:11" ht="83.5" customHeight="1">
      <c r="A7" s="47" t="s">
        <v>128</v>
      </c>
      <c r="B7" s="47" t="s">
        <v>172</v>
      </c>
      <c r="C7" s="47" t="s">
        <v>173</v>
      </c>
      <c r="D7" s="48" t="s">
        <v>422</v>
      </c>
      <c r="E7" s="47" t="s">
        <v>129</v>
      </c>
      <c r="F7" s="49">
        <v>1</v>
      </c>
      <c r="G7" s="48" t="s">
        <v>423</v>
      </c>
      <c r="H7" s="49">
        <v>3</v>
      </c>
      <c r="I7" s="48" t="s">
        <v>176</v>
      </c>
      <c r="J7" s="50">
        <v>46097</v>
      </c>
      <c r="K7" s="50">
        <v>46099</v>
      </c>
    </row>
    <row r="8" spans="1:11" ht="98" customHeight="1">
      <c r="A8" s="43" t="s">
        <v>128</v>
      </c>
      <c r="B8" s="43" t="s">
        <v>177</v>
      </c>
      <c r="C8" s="43" t="s">
        <v>178</v>
      </c>
      <c r="D8" s="44" t="s">
        <v>424</v>
      </c>
      <c r="E8" s="43" t="s">
        <v>129</v>
      </c>
      <c r="F8" s="45">
        <v>1</v>
      </c>
      <c r="G8" s="44" t="s">
        <v>425</v>
      </c>
      <c r="H8" s="45">
        <v>2</v>
      </c>
      <c r="I8" s="44" t="s">
        <v>181</v>
      </c>
      <c r="J8" s="46">
        <v>46097</v>
      </c>
      <c r="K8" s="46">
        <v>46100</v>
      </c>
    </row>
    <row r="9" spans="1:11" ht="69" customHeight="1">
      <c r="A9" s="47" t="s">
        <v>128</v>
      </c>
      <c r="B9" s="47" t="s">
        <v>182</v>
      </c>
      <c r="C9" s="47" t="s">
        <v>183</v>
      </c>
      <c r="D9" s="48" t="s">
        <v>426</v>
      </c>
      <c r="E9" s="47" t="s">
        <v>129</v>
      </c>
      <c r="F9" s="49">
        <v>1</v>
      </c>
      <c r="G9" s="48" t="s">
        <v>427</v>
      </c>
      <c r="H9" s="49">
        <v>5</v>
      </c>
      <c r="I9" s="48" t="s">
        <v>186</v>
      </c>
      <c r="J9" s="50">
        <v>46098</v>
      </c>
      <c r="K9" s="50">
        <v>46103</v>
      </c>
    </row>
    <row r="10" spans="1:11" ht="83.5" customHeight="1">
      <c r="A10" s="43" t="s">
        <v>128</v>
      </c>
      <c r="B10" s="43" t="s">
        <v>222</v>
      </c>
      <c r="C10" s="43" t="s">
        <v>223</v>
      </c>
      <c r="D10" s="44" t="s">
        <v>428</v>
      </c>
      <c r="E10" s="43" t="s">
        <v>131</v>
      </c>
      <c r="F10" s="45">
        <v>1</v>
      </c>
      <c r="G10" s="44" t="s">
        <v>429</v>
      </c>
      <c r="H10" s="45">
        <v>3</v>
      </c>
      <c r="I10" s="44" t="s">
        <v>191</v>
      </c>
      <c r="J10" s="46">
        <v>46101</v>
      </c>
      <c r="K10" s="46">
        <v>46105</v>
      </c>
    </row>
    <row r="11" spans="1:11" ht="83.5" customHeight="1">
      <c r="A11" s="47" t="s">
        <v>128</v>
      </c>
      <c r="B11" s="47" t="s">
        <v>187</v>
      </c>
      <c r="C11" s="47" t="s">
        <v>188</v>
      </c>
      <c r="D11" s="48" t="s">
        <v>430</v>
      </c>
      <c r="E11" s="47" t="s">
        <v>129</v>
      </c>
      <c r="F11" s="49">
        <v>1</v>
      </c>
      <c r="G11" s="48" t="s">
        <v>431</v>
      </c>
      <c r="H11" s="49">
        <v>3</v>
      </c>
      <c r="I11" s="48" t="s">
        <v>191</v>
      </c>
      <c r="J11" s="50">
        <v>46102</v>
      </c>
      <c r="K11" s="50">
        <v>46106</v>
      </c>
    </row>
    <row r="12" spans="1:11" ht="69" customHeight="1">
      <c r="A12" s="47" t="s">
        <v>132</v>
      </c>
      <c r="B12" s="47" t="s">
        <v>69</v>
      </c>
      <c r="C12" s="47" t="s">
        <v>70</v>
      </c>
      <c r="D12" s="48" t="s">
        <v>373</v>
      </c>
      <c r="E12" s="47" t="s">
        <v>131</v>
      </c>
      <c r="F12" s="49">
        <v>2</v>
      </c>
      <c r="G12" s="48" t="s">
        <v>374</v>
      </c>
      <c r="H12" s="49">
        <v>5</v>
      </c>
      <c r="I12" s="48" t="s">
        <v>73</v>
      </c>
      <c r="J12" s="50">
        <v>46153</v>
      </c>
      <c r="K12" s="50">
        <v>46159</v>
      </c>
    </row>
    <row r="13" spans="1:11" ht="69" customHeight="1">
      <c r="A13" s="47" t="s">
        <v>130</v>
      </c>
      <c r="B13" s="47" t="s">
        <v>226</v>
      </c>
      <c r="C13" s="47" t="s">
        <v>227</v>
      </c>
      <c r="D13" s="48" t="s">
        <v>390</v>
      </c>
      <c r="E13" s="47" t="s">
        <v>131</v>
      </c>
      <c r="F13" s="49">
        <v>2</v>
      </c>
      <c r="G13" s="48" t="s">
        <v>391</v>
      </c>
      <c r="H13" s="49">
        <v>3</v>
      </c>
      <c r="I13" s="48" t="s">
        <v>171</v>
      </c>
      <c r="J13" s="50">
        <v>46111</v>
      </c>
      <c r="K13" s="50">
        <v>46115</v>
      </c>
    </row>
    <row r="14" spans="1:11" ht="98" customHeight="1">
      <c r="A14" s="43" t="s">
        <v>130</v>
      </c>
      <c r="B14" s="43" t="s">
        <v>230</v>
      </c>
      <c r="C14" s="43" t="s">
        <v>231</v>
      </c>
      <c r="D14" s="44" t="s">
        <v>392</v>
      </c>
      <c r="E14" s="43" t="s">
        <v>131</v>
      </c>
      <c r="F14" s="45">
        <v>2</v>
      </c>
      <c r="G14" s="44" t="s">
        <v>393</v>
      </c>
      <c r="H14" s="45">
        <v>3</v>
      </c>
      <c r="I14" s="44" t="s">
        <v>234</v>
      </c>
      <c r="J14" s="46">
        <v>46113</v>
      </c>
      <c r="K14" s="46">
        <v>46117</v>
      </c>
    </row>
    <row r="15" spans="1:11" ht="83.5" customHeight="1">
      <c r="A15" s="47" t="s">
        <v>130</v>
      </c>
      <c r="B15" s="47" t="s">
        <v>192</v>
      </c>
      <c r="C15" s="47" t="s">
        <v>193</v>
      </c>
      <c r="D15" s="48" t="s">
        <v>394</v>
      </c>
      <c r="E15" s="47" t="s">
        <v>129</v>
      </c>
      <c r="F15" s="49">
        <v>2</v>
      </c>
      <c r="G15" s="48" t="s">
        <v>395</v>
      </c>
      <c r="H15" s="49">
        <v>5</v>
      </c>
      <c r="I15" s="48" t="s">
        <v>196</v>
      </c>
      <c r="J15" s="50">
        <v>46115</v>
      </c>
      <c r="K15" s="50">
        <v>46120</v>
      </c>
    </row>
    <row r="16" spans="1:11" ht="98" customHeight="1">
      <c r="A16" s="43" t="s">
        <v>130</v>
      </c>
      <c r="B16" s="43" t="s">
        <v>16</v>
      </c>
      <c r="C16" s="43" t="s">
        <v>17</v>
      </c>
      <c r="D16" s="44" t="s">
        <v>404</v>
      </c>
      <c r="E16" s="43" t="s">
        <v>131</v>
      </c>
      <c r="F16" s="45">
        <v>2</v>
      </c>
      <c r="G16" s="44" t="s">
        <v>405</v>
      </c>
      <c r="H16" s="45">
        <v>4</v>
      </c>
      <c r="I16" s="44" t="s">
        <v>20</v>
      </c>
      <c r="J16" s="46">
        <v>46125</v>
      </c>
      <c r="K16" s="46">
        <v>46130</v>
      </c>
    </row>
    <row r="17" spans="1:11" ht="83.5" customHeight="1">
      <c r="A17" s="43" t="s">
        <v>130</v>
      </c>
      <c r="B17" s="43" t="s">
        <v>27</v>
      </c>
      <c r="C17" s="43" t="s">
        <v>28</v>
      </c>
      <c r="D17" s="44" t="s">
        <v>408</v>
      </c>
      <c r="E17" s="43" t="s">
        <v>30</v>
      </c>
      <c r="F17" s="45">
        <v>2</v>
      </c>
      <c r="G17" s="44" t="s">
        <v>409</v>
      </c>
      <c r="H17" s="45">
        <v>2</v>
      </c>
      <c r="I17" s="44" t="s">
        <v>32</v>
      </c>
      <c r="J17" s="46">
        <v>46111</v>
      </c>
      <c r="K17" s="46">
        <v>46124</v>
      </c>
    </row>
    <row r="18" spans="1:11" ht="69" customHeight="1">
      <c r="A18" s="43" t="s">
        <v>130</v>
      </c>
      <c r="B18" s="43" t="s">
        <v>38</v>
      </c>
      <c r="C18" s="43" t="s">
        <v>39</v>
      </c>
      <c r="D18" s="44" t="s">
        <v>412</v>
      </c>
      <c r="E18" s="43" t="s">
        <v>41</v>
      </c>
      <c r="F18" s="45">
        <v>2</v>
      </c>
      <c r="G18" s="44" t="s">
        <v>413</v>
      </c>
      <c r="H18" s="45">
        <v>5</v>
      </c>
      <c r="I18" s="44" t="s">
        <v>43</v>
      </c>
      <c r="J18" s="46">
        <v>46111</v>
      </c>
      <c r="K18" s="46">
        <v>46124</v>
      </c>
    </row>
    <row r="19" spans="1:11" ht="98" customHeight="1">
      <c r="A19" s="43" t="s">
        <v>128</v>
      </c>
      <c r="B19" s="43" t="s">
        <v>197</v>
      </c>
      <c r="C19" s="43" t="s">
        <v>198</v>
      </c>
      <c r="D19" s="44" t="s">
        <v>432</v>
      </c>
      <c r="E19" s="43" t="s">
        <v>129</v>
      </c>
      <c r="F19" s="45">
        <v>2</v>
      </c>
      <c r="G19" s="44" t="s">
        <v>433</v>
      </c>
      <c r="H19" s="45">
        <v>5</v>
      </c>
      <c r="I19" s="44" t="s">
        <v>201</v>
      </c>
      <c r="J19" s="46">
        <v>46111</v>
      </c>
      <c r="K19" s="46">
        <v>46116</v>
      </c>
    </row>
    <row r="20" spans="1:11" ht="83.5" customHeight="1">
      <c r="A20" s="47" t="s">
        <v>128</v>
      </c>
      <c r="B20" s="47" t="s">
        <v>235</v>
      </c>
      <c r="C20" s="47" t="s">
        <v>236</v>
      </c>
      <c r="D20" s="48" t="s">
        <v>434</v>
      </c>
      <c r="E20" s="47" t="s">
        <v>131</v>
      </c>
      <c r="F20" s="49">
        <v>2</v>
      </c>
      <c r="G20" s="48" t="s">
        <v>435</v>
      </c>
      <c r="H20" s="49">
        <v>5</v>
      </c>
      <c r="I20" s="48" t="s">
        <v>239</v>
      </c>
      <c r="J20" s="50">
        <v>46113</v>
      </c>
      <c r="K20" s="50">
        <v>46118</v>
      </c>
    </row>
    <row r="21" spans="1:11" ht="98" customHeight="1">
      <c r="A21" s="43" t="s">
        <v>128</v>
      </c>
      <c r="B21" s="43" t="s">
        <v>202</v>
      </c>
      <c r="C21" s="43" t="s">
        <v>203</v>
      </c>
      <c r="D21" s="44" t="s">
        <v>436</v>
      </c>
      <c r="E21" s="43" t="s">
        <v>129</v>
      </c>
      <c r="F21" s="45">
        <v>2</v>
      </c>
      <c r="G21" s="44" t="s">
        <v>437</v>
      </c>
      <c r="H21" s="45">
        <v>8</v>
      </c>
      <c r="I21" s="44" t="s">
        <v>206</v>
      </c>
      <c r="J21" s="46">
        <v>46115</v>
      </c>
      <c r="K21" s="46">
        <v>46121</v>
      </c>
    </row>
    <row r="22" spans="1:11" ht="83.5" customHeight="1">
      <c r="A22" s="47" t="s">
        <v>128</v>
      </c>
      <c r="B22" s="47" t="s">
        <v>240</v>
      </c>
      <c r="C22" s="47" t="s">
        <v>241</v>
      </c>
      <c r="D22" s="48" t="s">
        <v>438</v>
      </c>
      <c r="E22" s="47" t="s">
        <v>131</v>
      </c>
      <c r="F22" s="49">
        <v>2</v>
      </c>
      <c r="G22" s="48" t="s">
        <v>439</v>
      </c>
      <c r="H22" s="49">
        <v>3</v>
      </c>
      <c r="I22" s="48" t="s">
        <v>244</v>
      </c>
      <c r="J22" s="50">
        <v>46118</v>
      </c>
      <c r="K22" s="50">
        <v>46122</v>
      </c>
    </row>
    <row r="23" spans="1:11" ht="98" customHeight="1">
      <c r="A23" s="47" t="s">
        <v>128</v>
      </c>
      <c r="B23" s="47" t="s">
        <v>0</v>
      </c>
      <c r="C23" s="47" t="s">
        <v>442</v>
      </c>
      <c r="D23" s="48" t="s">
        <v>443</v>
      </c>
      <c r="E23" s="47" t="s">
        <v>133</v>
      </c>
      <c r="F23" s="49">
        <v>2</v>
      </c>
      <c r="G23" s="48" t="s">
        <v>444</v>
      </c>
      <c r="H23" s="49">
        <v>2</v>
      </c>
      <c r="I23" s="48" t="s">
        <v>4</v>
      </c>
      <c r="J23" s="50">
        <v>46125</v>
      </c>
      <c r="K23" s="50">
        <v>46130</v>
      </c>
    </row>
    <row r="24" spans="1:11" ht="83.5" customHeight="1">
      <c r="A24" s="47" t="s">
        <v>128</v>
      </c>
      <c r="B24" s="47" t="s">
        <v>13</v>
      </c>
      <c r="C24" s="47" t="s">
        <v>111</v>
      </c>
      <c r="D24" s="48" t="s">
        <v>451</v>
      </c>
      <c r="E24" s="47" t="s">
        <v>133</v>
      </c>
      <c r="F24" s="49">
        <v>2</v>
      </c>
      <c r="G24" s="48" t="s">
        <v>452</v>
      </c>
      <c r="H24" s="49">
        <v>5</v>
      </c>
      <c r="I24" s="48" t="s">
        <v>113</v>
      </c>
      <c r="J24" s="50">
        <v>46128</v>
      </c>
      <c r="K24" s="50">
        <v>46132</v>
      </c>
    </row>
    <row r="25" spans="1:11" ht="83.5" customHeight="1">
      <c r="A25" s="43" t="s">
        <v>128</v>
      </c>
      <c r="B25" s="43" t="s">
        <v>14</v>
      </c>
      <c r="C25" s="43" t="s">
        <v>114</v>
      </c>
      <c r="D25" s="44" t="s">
        <v>453</v>
      </c>
      <c r="E25" s="43" t="s">
        <v>133</v>
      </c>
      <c r="F25" s="45">
        <v>2</v>
      </c>
      <c r="G25" s="44" t="s">
        <v>454</v>
      </c>
      <c r="H25" s="45">
        <v>8</v>
      </c>
      <c r="I25" s="44" t="s">
        <v>117</v>
      </c>
      <c r="J25" s="46">
        <v>46132</v>
      </c>
      <c r="K25" s="46">
        <v>46144</v>
      </c>
    </row>
    <row r="26" spans="1:11" ht="98" customHeight="1">
      <c r="A26" s="47" t="s">
        <v>132</v>
      </c>
      <c r="B26" s="47" t="s">
        <v>270</v>
      </c>
      <c r="C26" s="47" t="s">
        <v>271</v>
      </c>
      <c r="D26" s="48" t="s">
        <v>361</v>
      </c>
      <c r="E26" s="47" t="s">
        <v>133</v>
      </c>
      <c r="F26" s="49">
        <v>3</v>
      </c>
      <c r="G26" s="48" t="s">
        <v>362</v>
      </c>
      <c r="H26" s="49">
        <v>3</v>
      </c>
      <c r="I26" s="48" t="s">
        <v>274</v>
      </c>
      <c r="J26" s="50">
        <v>46125</v>
      </c>
      <c r="K26" s="50">
        <v>46129</v>
      </c>
    </row>
    <row r="27" spans="1:11" ht="98" customHeight="1">
      <c r="A27" s="43" t="s">
        <v>130</v>
      </c>
      <c r="B27" s="43" t="s">
        <v>245</v>
      </c>
      <c r="C27" s="43" t="s">
        <v>246</v>
      </c>
      <c r="D27" s="44" t="s">
        <v>396</v>
      </c>
      <c r="E27" s="43" t="s">
        <v>131</v>
      </c>
      <c r="F27" s="45">
        <v>3</v>
      </c>
      <c r="G27" s="44" t="s">
        <v>397</v>
      </c>
      <c r="H27" s="45">
        <v>5</v>
      </c>
      <c r="I27" s="44" t="s">
        <v>249</v>
      </c>
      <c r="J27" s="46">
        <v>46125</v>
      </c>
      <c r="K27" s="46">
        <v>46130</v>
      </c>
    </row>
    <row r="28" spans="1:11" ht="83.5" customHeight="1">
      <c r="A28" s="47" t="s">
        <v>130</v>
      </c>
      <c r="B28" s="47" t="s">
        <v>250</v>
      </c>
      <c r="C28" s="47" t="s">
        <v>251</v>
      </c>
      <c r="D28" s="48" t="s">
        <v>398</v>
      </c>
      <c r="E28" s="47" t="s">
        <v>131</v>
      </c>
      <c r="F28" s="49">
        <v>3</v>
      </c>
      <c r="G28" s="48" t="s">
        <v>399</v>
      </c>
      <c r="H28" s="49">
        <v>3</v>
      </c>
      <c r="I28" s="48" t="s">
        <v>254</v>
      </c>
      <c r="J28" s="50">
        <v>46127</v>
      </c>
      <c r="K28" s="50">
        <v>46131</v>
      </c>
    </row>
    <row r="29" spans="1:11" ht="98" customHeight="1">
      <c r="A29" s="43" t="s">
        <v>130</v>
      </c>
      <c r="B29" s="43" t="s">
        <v>207</v>
      </c>
      <c r="C29" s="43" t="s">
        <v>208</v>
      </c>
      <c r="D29" s="44" t="s">
        <v>400</v>
      </c>
      <c r="E29" s="43" t="s">
        <v>129</v>
      </c>
      <c r="F29" s="45">
        <v>3</v>
      </c>
      <c r="G29" s="44" t="s">
        <v>401</v>
      </c>
      <c r="H29" s="45">
        <v>8</v>
      </c>
      <c r="I29" s="44" t="s">
        <v>211</v>
      </c>
      <c r="J29" s="46">
        <v>46128</v>
      </c>
      <c r="K29" s="46">
        <v>46136</v>
      </c>
    </row>
    <row r="30" spans="1:11" ht="98" customHeight="1">
      <c r="A30" s="47" t="s">
        <v>130</v>
      </c>
      <c r="B30" s="47" t="s">
        <v>21</v>
      </c>
      <c r="C30" s="47" t="s">
        <v>22</v>
      </c>
      <c r="D30" s="48" t="s">
        <v>406</v>
      </c>
      <c r="E30" s="47" t="s">
        <v>24</v>
      </c>
      <c r="F30" s="49">
        <v>3</v>
      </c>
      <c r="G30" s="48" t="s">
        <v>407</v>
      </c>
      <c r="H30" s="49">
        <v>3</v>
      </c>
      <c r="I30" s="48" t="s">
        <v>26</v>
      </c>
      <c r="J30" s="50">
        <v>46125</v>
      </c>
      <c r="K30" s="50">
        <v>46138</v>
      </c>
    </row>
    <row r="31" spans="1:11" ht="98" customHeight="1">
      <c r="A31" s="47" t="s">
        <v>130</v>
      </c>
      <c r="B31" s="47" t="s">
        <v>33</v>
      </c>
      <c r="C31" s="47" t="s">
        <v>34</v>
      </c>
      <c r="D31" s="48" t="s">
        <v>410</v>
      </c>
      <c r="E31" s="47" t="s">
        <v>30</v>
      </c>
      <c r="F31" s="49">
        <v>3</v>
      </c>
      <c r="G31" s="48" t="s">
        <v>411</v>
      </c>
      <c r="H31" s="49">
        <v>5</v>
      </c>
      <c r="I31" s="48" t="s">
        <v>37</v>
      </c>
      <c r="J31" s="50">
        <v>46125</v>
      </c>
      <c r="K31" s="50">
        <v>46138</v>
      </c>
    </row>
    <row r="32" spans="1:11" ht="112.5" customHeight="1">
      <c r="A32" s="43" t="s">
        <v>128</v>
      </c>
      <c r="B32" s="43" t="s">
        <v>275</v>
      </c>
      <c r="C32" s="43" t="s">
        <v>276</v>
      </c>
      <c r="D32" s="44" t="s">
        <v>440</v>
      </c>
      <c r="E32" s="43" t="s">
        <v>133</v>
      </c>
      <c r="F32" s="45">
        <v>3</v>
      </c>
      <c r="G32" s="44" t="s">
        <v>441</v>
      </c>
      <c r="H32" s="45">
        <v>5</v>
      </c>
      <c r="I32" s="44" t="s">
        <v>279</v>
      </c>
      <c r="J32" s="46">
        <v>46125</v>
      </c>
      <c r="K32" s="46">
        <v>46130</v>
      </c>
    </row>
    <row r="33" spans="1:11" ht="83.5" customHeight="1">
      <c r="A33" s="43" t="s">
        <v>128</v>
      </c>
      <c r="B33" s="43" t="s">
        <v>5</v>
      </c>
      <c r="C33" s="43" t="s">
        <v>6</v>
      </c>
      <c r="D33" s="44" t="s">
        <v>445</v>
      </c>
      <c r="E33" s="43" t="s">
        <v>134</v>
      </c>
      <c r="F33" s="45">
        <v>3</v>
      </c>
      <c r="G33" s="44" t="s">
        <v>446</v>
      </c>
      <c r="H33" s="45">
        <v>5</v>
      </c>
      <c r="I33" s="44" t="s">
        <v>9</v>
      </c>
      <c r="J33" s="46">
        <v>46126</v>
      </c>
      <c r="K33" s="46">
        <v>46131</v>
      </c>
    </row>
    <row r="34" spans="1:11" ht="83.5" customHeight="1">
      <c r="A34" s="47" t="s">
        <v>128</v>
      </c>
      <c r="B34" s="47" t="s">
        <v>10</v>
      </c>
      <c r="C34" s="47" t="s">
        <v>11</v>
      </c>
      <c r="D34" s="48" t="s">
        <v>447</v>
      </c>
      <c r="E34" s="47" t="s">
        <v>131</v>
      </c>
      <c r="F34" s="49">
        <v>3</v>
      </c>
      <c r="G34" s="48" t="s">
        <v>448</v>
      </c>
      <c r="H34" s="49">
        <v>5</v>
      </c>
      <c r="I34" s="48" t="s">
        <v>106</v>
      </c>
      <c r="J34" s="50">
        <v>46126</v>
      </c>
      <c r="K34" s="50">
        <v>46131</v>
      </c>
    </row>
    <row r="35" spans="1:11" ht="98" customHeight="1">
      <c r="A35" s="43" t="s">
        <v>128</v>
      </c>
      <c r="B35" s="43" t="s">
        <v>12</v>
      </c>
      <c r="C35" s="43" t="s">
        <v>107</v>
      </c>
      <c r="D35" s="44" t="s">
        <v>449</v>
      </c>
      <c r="E35" s="43" t="s">
        <v>133</v>
      </c>
      <c r="F35" s="45">
        <v>3</v>
      </c>
      <c r="G35" s="44" t="s">
        <v>450</v>
      </c>
      <c r="H35" s="45">
        <v>5</v>
      </c>
      <c r="I35" s="44" t="s">
        <v>110</v>
      </c>
      <c r="J35" s="46">
        <v>46127</v>
      </c>
      <c r="K35" s="46">
        <v>46132</v>
      </c>
    </row>
    <row r="36" spans="1:11" ht="98" customHeight="1">
      <c r="A36" s="47" t="s">
        <v>128</v>
      </c>
      <c r="B36" s="47" t="s">
        <v>15</v>
      </c>
      <c r="C36" s="47" t="s">
        <v>118</v>
      </c>
      <c r="D36" s="48" t="s">
        <v>455</v>
      </c>
      <c r="E36" s="47" t="s">
        <v>131</v>
      </c>
      <c r="F36" s="49">
        <v>3</v>
      </c>
      <c r="G36" s="48" t="s">
        <v>456</v>
      </c>
      <c r="H36" s="49">
        <v>8</v>
      </c>
      <c r="I36" s="48" t="s">
        <v>122</v>
      </c>
      <c r="J36" s="50">
        <v>46144</v>
      </c>
      <c r="K36" s="50">
        <v>46157</v>
      </c>
    </row>
    <row r="37" spans="1:11" ht="83.5" customHeight="1">
      <c r="A37" s="47" t="s">
        <v>132</v>
      </c>
      <c r="B37" s="47" t="s">
        <v>212</v>
      </c>
      <c r="C37" s="47" t="s">
        <v>213</v>
      </c>
      <c r="D37" s="48" t="s">
        <v>353</v>
      </c>
      <c r="E37" s="47" t="s">
        <v>129</v>
      </c>
      <c r="F37" s="49">
        <v>4</v>
      </c>
      <c r="G37" s="48" t="s">
        <v>354</v>
      </c>
      <c r="H37" s="49">
        <v>5</v>
      </c>
      <c r="I37" s="48" t="s">
        <v>216</v>
      </c>
      <c r="J37" s="50">
        <v>46139</v>
      </c>
      <c r="K37" s="50">
        <v>46145</v>
      </c>
    </row>
    <row r="38" spans="1:11" ht="83.5" customHeight="1">
      <c r="A38" s="43" t="s">
        <v>132</v>
      </c>
      <c r="B38" s="43" t="s">
        <v>255</v>
      </c>
      <c r="C38" s="43" t="s">
        <v>256</v>
      </c>
      <c r="D38" s="44" t="s">
        <v>355</v>
      </c>
      <c r="E38" s="43" t="s">
        <v>131</v>
      </c>
      <c r="F38" s="45">
        <v>4</v>
      </c>
      <c r="G38" s="44" t="s">
        <v>356</v>
      </c>
      <c r="H38" s="45">
        <v>3</v>
      </c>
      <c r="I38" s="44" t="s">
        <v>259</v>
      </c>
      <c r="J38" s="46">
        <v>46140</v>
      </c>
      <c r="K38" s="46">
        <v>46146</v>
      </c>
    </row>
    <row r="39" spans="1:11" ht="69" customHeight="1">
      <c r="A39" s="47" t="s">
        <v>132</v>
      </c>
      <c r="B39" s="47" t="s">
        <v>217</v>
      </c>
      <c r="C39" s="47" t="s">
        <v>218</v>
      </c>
      <c r="D39" s="48" t="s">
        <v>357</v>
      </c>
      <c r="E39" s="47" t="s">
        <v>129</v>
      </c>
      <c r="F39" s="49">
        <v>4</v>
      </c>
      <c r="G39" s="48" t="s">
        <v>358</v>
      </c>
      <c r="H39" s="49">
        <v>5</v>
      </c>
      <c r="I39" s="48" t="s">
        <v>221</v>
      </c>
      <c r="J39" s="50">
        <v>46141</v>
      </c>
      <c r="K39" s="50">
        <v>46148</v>
      </c>
    </row>
    <row r="40" spans="1:11" ht="69" customHeight="1">
      <c r="A40" s="43" t="s">
        <v>132</v>
      </c>
      <c r="B40" s="43" t="s">
        <v>260</v>
      </c>
      <c r="C40" s="43" t="s">
        <v>261</v>
      </c>
      <c r="D40" s="44" t="s">
        <v>359</v>
      </c>
      <c r="E40" s="43" t="s">
        <v>131</v>
      </c>
      <c r="F40" s="45">
        <v>4</v>
      </c>
      <c r="G40" s="44" t="s">
        <v>360</v>
      </c>
      <c r="H40" s="45">
        <v>5</v>
      </c>
      <c r="I40" s="44" t="s">
        <v>264</v>
      </c>
      <c r="J40" s="46">
        <v>46143</v>
      </c>
      <c r="K40" s="46">
        <v>46149</v>
      </c>
    </row>
    <row r="41" spans="1:11" ht="83.5" customHeight="1">
      <c r="A41" s="43" t="s">
        <v>132</v>
      </c>
      <c r="B41" s="43" t="s">
        <v>280</v>
      </c>
      <c r="C41" s="43" t="s">
        <v>281</v>
      </c>
      <c r="D41" s="44" t="s">
        <v>363</v>
      </c>
      <c r="E41" s="43" t="s">
        <v>133</v>
      </c>
      <c r="F41" s="45">
        <v>4</v>
      </c>
      <c r="G41" s="44" t="s">
        <v>364</v>
      </c>
      <c r="H41" s="45">
        <v>3</v>
      </c>
      <c r="I41" s="44" t="s">
        <v>284</v>
      </c>
      <c r="J41" s="46">
        <v>46144</v>
      </c>
      <c r="K41" s="46">
        <v>46150</v>
      </c>
    </row>
    <row r="42" spans="1:11" ht="83.5" customHeight="1">
      <c r="A42" s="43" t="s">
        <v>132</v>
      </c>
      <c r="B42" s="43" t="s">
        <v>74</v>
      </c>
      <c r="C42" s="43" t="s">
        <v>75</v>
      </c>
      <c r="D42" s="44" t="s">
        <v>375</v>
      </c>
      <c r="E42" s="43" t="s">
        <v>133</v>
      </c>
      <c r="F42" s="45">
        <v>4</v>
      </c>
      <c r="G42" s="44" t="s">
        <v>376</v>
      </c>
      <c r="H42" s="45">
        <v>3</v>
      </c>
      <c r="I42" s="44" t="s">
        <v>377</v>
      </c>
      <c r="J42" s="46">
        <v>46143</v>
      </c>
      <c r="K42" s="46">
        <v>46149</v>
      </c>
    </row>
    <row r="43" spans="1:11" ht="83.5" customHeight="1">
      <c r="A43" s="47" t="s">
        <v>132</v>
      </c>
      <c r="B43" s="47" t="s">
        <v>79</v>
      </c>
      <c r="C43" s="47" t="s">
        <v>80</v>
      </c>
      <c r="D43" s="48" t="s">
        <v>378</v>
      </c>
      <c r="E43" s="47" t="s">
        <v>131</v>
      </c>
      <c r="F43" s="49">
        <v>4</v>
      </c>
      <c r="G43" s="48" t="s">
        <v>379</v>
      </c>
      <c r="H43" s="49">
        <v>3</v>
      </c>
      <c r="I43" s="48" t="s">
        <v>83</v>
      </c>
      <c r="J43" s="50">
        <v>46144</v>
      </c>
      <c r="K43" s="50">
        <v>46150</v>
      </c>
    </row>
    <row r="44" spans="1:11" ht="98" customHeight="1">
      <c r="A44" s="43" t="s">
        <v>132</v>
      </c>
      <c r="B44" s="43" t="s">
        <v>84</v>
      </c>
      <c r="C44" s="43" t="s">
        <v>85</v>
      </c>
      <c r="D44" s="44" t="s">
        <v>380</v>
      </c>
      <c r="E44" s="43" t="s">
        <v>134</v>
      </c>
      <c r="F44" s="45">
        <v>4</v>
      </c>
      <c r="G44" s="44" t="s">
        <v>381</v>
      </c>
      <c r="H44" s="45">
        <v>5</v>
      </c>
      <c r="I44" s="44" t="s">
        <v>88</v>
      </c>
      <c r="J44" s="46">
        <v>46153</v>
      </c>
      <c r="K44" s="46">
        <v>46159</v>
      </c>
    </row>
    <row r="45" spans="1:11" ht="98" customHeight="1">
      <c r="A45" s="47" t="s">
        <v>132</v>
      </c>
      <c r="B45" s="47" t="s">
        <v>89</v>
      </c>
      <c r="C45" s="47" t="s">
        <v>90</v>
      </c>
      <c r="D45" s="48" t="s">
        <v>382</v>
      </c>
      <c r="E45" s="47" t="s">
        <v>134</v>
      </c>
      <c r="F45" s="49">
        <v>4</v>
      </c>
      <c r="G45" s="48" t="s">
        <v>383</v>
      </c>
      <c r="H45" s="49">
        <v>5</v>
      </c>
      <c r="I45" s="48" t="s">
        <v>93</v>
      </c>
      <c r="J45" s="50">
        <v>46149</v>
      </c>
      <c r="K45" s="50">
        <v>46155</v>
      </c>
    </row>
    <row r="46" spans="1:11" ht="83.5" customHeight="1">
      <c r="A46" s="47" t="s">
        <v>130</v>
      </c>
      <c r="B46" s="47" t="s">
        <v>285</v>
      </c>
      <c r="C46" s="47" t="s">
        <v>286</v>
      </c>
      <c r="D46" s="48" t="s">
        <v>402</v>
      </c>
      <c r="E46" s="47" t="s">
        <v>133</v>
      </c>
      <c r="F46" s="49">
        <v>4</v>
      </c>
      <c r="G46" s="48" t="s">
        <v>403</v>
      </c>
      <c r="H46" s="49">
        <v>3</v>
      </c>
      <c r="I46" s="48" t="s">
        <v>289</v>
      </c>
      <c r="J46" s="50">
        <v>46139</v>
      </c>
      <c r="K46" s="50">
        <v>46143</v>
      </c>
    </row>
    <row r="47" spans="1:11" ht="54.5" customHeight="1">
      <c r="A47" s="47" t="s">
        <v>130</v>
      </c>
      <c r="B47" s="47" t="s">
        <v>44</v>
      </c>
      <c r="C47" s="47" t="s">
        <v>45</v>
      </c>
      <c r="D47" s="48" t="s">
        <v>414</v>
      </c>
      <c r="E47" s="47" t="s">
        <v>30</v>
      </c>
      <c r="F47" s="49">
        <v>4</v>
      </c>
      <c r="G47" s="48" t="s">
        <v>415</v>
      </c>
      <c r="H47" s="49">
        <v>3</v>
      </c>
      <c r="I47" s="48" t="s">
        <v>48</v>
      </c>
      <c r="J47" s="50">
        <v>46139</v>
      </c>
      <c r="K47" s="50">
        <v>46143</v>
      </c>
    </row>
    <row r="48" spans="1:11" ht="83.5" customHeight="1">
      <c r="A48" s="43" t="s">
        <v>130</v>
      </c>
      <c r="B48" s="43" t="s">
        <v>49</v>
      </c>
      <c r="C48" s="43" t="s">
        <v>50</v>
      </c>
      <c r="D48" s="44" t="s">
        <v>416</v>
      </c>
      <c r="E48" s="43" t="s">
        <v>30</v>
      </c>
      <c r="F48" s="45">
        <v>4</v>
      </c>
      <c r="G48" s="44" t="s">
        <v>417</v>
      </c>
      <c r="H48" s="45">
        <v>5</v>
      </c>
      <c r="I48" s="44" t="s">
        <v>53</v>
      </c>
      <c r="J48" s="46">
        <v>46140</v>
      </c>
      <c r="K48" s="46">
        <v>46145</v>
      </c>
    </row>
    <row r="49" spans="1:11" ht="98" customHeight="1">
      <c r="A49" s="47" t="s">
        <v>130</v>
      </c>
      <c r="B49" s="47" t="s">
        <v>54</v>
      </c>
      <c r="C49" s="47" t="s">
        <v>55</v>
      </c>
      <c r="D49" s="48" t="s">
        <v>418</v>
      </c>
      <c r="E49" s="47" t="s">
        <v>30</v>
      </c>
      <c r="F49" s="49">
        <v>4</v>
      </c>
      <c r="G49" s="48" t="s">
        <v>419</v>
      </c>
      <c r="H49" s="49">
        <v>3</v>
      </c>
      <c r="I49" s="48" t="s">
        <v>58</v>
      </c>
      <c r="J49" s="50">
        <v>46141</v>
      </c>
      <c r="K49" s="50">
        <v>46146</v>
      </c>
    </row>
    <row r="50" spans="1:11" ht="83.5" customHeight="1">
      <c r="A50" s="47" t="s">
        <v>132</v>
      </c>
      <c r="B50" s="47" t="s">
        <v>265</v>
      </c>
      <c r="C50" s="47" t="s">
        <v>266</v>
      </c>
      <c r="D50" s="48" t="s">
        <v>365</v>
      </c>
      <c r="E50" s="47" t="s">
        <v>131</v>
      </c>
      <c r="F50" s="49">
        <v>5</v>
      </c>
      <c r="G50" s="48" t="s">
        <v>366</v>
      </c>
      <c r="H50" s="49">
        <v>5</v>
      </c>
      <c r="I50" s="48" t="s">
        <v>269</v>
      </c>
      <c r="J50" s="50">
        <v>46153</v>
      </c>
      <c r="K50" s="50">
        <v>46159</v>
      </c>
    </row>
    <row r="51" spans="1:11" ht="83.5" customHeight="1">
      <c r="A51" s="43" t="s">
        <v>132</v>
      </c>
      <c r="B51" s="43" t="s">
        <v>290</v>
      </c>
      <c r="C51" s="43" t="s">
        <v>291</v>
      </c>
      <c r="D51" s="44" t="s">
        <v>367</v>
      </c>
      <c r="E51" s="43" t="s">
        <v>134</v>
      </c>
      <c r="F51" s="45">
        <v>5</v>
      </c>
      <c r="G51" s="44" t="s">
        <v>368</v>
      </c>
      <c r="H51" s="45">
        <v>5</v>
      </c>
      <c r="I51" s="44" t="s">
        <v>294</v>
      </c>
      <c r="J51" s="46">
        <v>46155</v>
      </c>
      <c r="K51" s="46">
        <v>46162</v>
      </c>
    </row>
    <row r="52" spans="1:11" ht="69" customHeight="1">
      <c r="A52" s="47" t="s">
        <v>132</v>
      </c>
      <c r="B52" s="47" t="s">
        <v>295</v>
      </c>
      <c r="C52" s="47" t="s">
        <v>296</v>
      </c>
      <c r="D52" s="48" t="s">
        <v>369</v>
      </c>
      <c r="E52" s="47" t="s">
        <v>135</v>
      </c>
      <c r="F52" s="49">
        <v>5</v>
      </c>
      <c r="G52" s="48" t="s">
        <v>370</v>
      </c>
      <c r="H52" s="49">
        <v>3</v>
      </c>
      <c r="I52" s="48" t="s">
        <v>299</v>
      </c>
      <c r="J52" s="50">
        <v>46157</v>
      </c>
      <c r="K52" s="50">
        <v>46164</v>
      </c>
    </row>
    <row r="53" spans="1:11" ht="69" customHeight="1">
      <c r="A53" s="57" t="s">
        <v>130</v>
      </c>
      <c r="B53" s="57" t="s">
        <v>59</v>
      </c>
      <c r="C53" s="57" t="s">
        <v>60</v>
      </c>
      <c r="D53" s="58" t="s">
        <v>420</v>
      </c>
      <c r="E53" s="57" t="s">
        <v>24</v>
      </c>
      <c r="F53" s="59">
        <v>5</v>
      </c>
      <c r="G53" s="58" t="s">
        <v>421</v>
      </c>
      <c r="H53" s="59">
        <v>5</v>
      </c>
      <c r="I53" s="58" t="s">
        <v>63</v>
      </c>
      <c r="J53" s="60">
        <v>46143</v>
      </c>
      <c r="K53" s="60">
        <v>46148</v>
      </c>
    </row>
  </sheetData>
  <phoneticPr fontId="9" type="noConversion"/>
  <conditionalFormatting sqref="E1:E1048576">
    <cfRule type="cellIs" dxfId="0" priority="5" operator="equal">
      <formula>"very high"</formula>
    </cfRule>
    <cfRule type="cellIs" dxfId="1" priority="4" operator="equal">
      <formula>"high"</formula>
    </cfRule>
    <cfRule type="cellIs" dxfId="2" priority="3" operator="equal">
      <formula>"medium"</formula>
    </cfRule>
    <cfRule type="cellIs" dxfId="3" priority="2" operator="equal">
      <formula>"low"</formula>
    </cfRule>
    <cfRule type="cellIs" dxfId="4" priority="1" operator="equal">
      <formula>"very low"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1BD"/>
  </sheetPr>
  <dimension ref="A1:J18"/>
  <sheetViews>
    <sheetView showGridLines="0" topLeftCell="A16" workbookViewId="0">
      <selection activeCell="B18" sqref="B18"/>
    </sheetView>
  </sheetViews>
  <sheetFormatPr defaultRowHeight="13"/>
  <cols>
    <col min="1" max="1" width="12" customWidth="1"/>
    <col min="2" max="2" width="28" customWidth="1"/>
    <col min="3" max="3" width="44" customWidth="1"/>
    <col min="4" max="5" width="12" customWidth="1"/>
    <col min="6" max="6" width="55" customWidth="1"/>
    <col min="7" max="7" width="12" customWidth="1"/>
    <col min="8" max="8" width="26" customWidth="1"/>
    <col min="9" max="10" width="14" customWidth="1"/>
  </cols>
  <sheetData>
    <row r="1" spans="1:10" ht="26">
      <c r="A1" s="12" t="s">
        <v>143</v>
      </c>
      <c r="B1" s="12" t="s">
        <v>144</v>
      </c>
      <c r="C1" s="12" t="s">
        <v>145</v>
      </c>
      <c r="D1" s="12" t="s">
        <v>146</v>
      </c>
      <c r="E1" s="12" t="s">
        <v>147</v>
      </c>
      <c r="F1" s="12" t="s">
        <v>148</v>
      </c>
      <c r="G1" s="12" t="s">
        <v>149</v>
      </c>
      <c r="H1" s="12" t="s">
        <v>140</v>
      </c>
      <c r="I1" s="12" t="s">
        <v>150</v>
      </c>
      <c r="J1" s="12" t="s">
        <v>151</v>
      </c>
    </row>
    <row r="2" spans="1:10" ht="88" customHeight="1">
      <c r="A2" s="11" t="s">
        <v>172</v>
      </c>
      <c r="B2" s="11" t="s">
        <v>173</v>
      </c>
      <c r="C2" s="11" t="s">
        <v>174</v>
      </c>
      <c r="D2" s="13" t="s">
        <v>129</v>
      </c>
      <c r="E2" s="11">
        <v>1</v>
      </c>
      <c r="F2" s="11" t="s">
        <v>175</v>
      </c>
      <c r="G2" s="11">
        <v>3</v>
      </c>
      <c r="H2" s="11" t="s">
        <v>176</v>
      </c>
      <c r="I2" s="14">
        <v>46097</v>
      </c>
      <c r="J2" s="14">
        <v>46099</v>
      </c>
    </row>
    <row r="3" spans="1:10" ht="88" customHeight="1">
      <c r="A3" s="11" t="s">
        <v>177</v>
      </c>
      <c r="B3" s="11" t="s">
        <v>178</v>
      </c>
      <c r="C3" s="11" t="s">
        <v>179</v>
      </c>
      <c r="D3" s="13" t="s">
        <v>129</v>
      </c>
      <c r="E3" s="11">
        <v>1</v>
      </c>
      <c r="F3" s="11" t="s">
        <v>180</v>
      </c>
      <c r="G3" s="11">
        <v>2</v>
      </c>
      <c r="H3" s="11" t="s">
        <v>181</v>
      </c>
      <c r="I3" s="14">
        <v>46097</v>
      </c>
      <c r="J3" s="14">
        <v>46100</v>
      </c>
    </row>
    <row r="4" spans="1:10" ht="88" customHeight="1">
      <c r="A4" s="11" t="s">
        <v>182</v>
      </c>
      <c r="B4" s="11" t="s">
        <v>183</v>
      </c>
      <c r="C4" s="11" t="s">
        <v>184</v>
      </c>
      <c r="D4" s="13" t="s">
        <v>129</v>
      </c>
      <c r="E4" s="11">
        <v>1</v>
      </c>
      <c r="F4" s="11" t="s">
        <v>185</v>
      </c>
      <c r="G4" s="11">
        <v>5</v>
      </c>
      <c r="H4" s="11" t="s">
        <v>186</v>
      </c>
      <c r="I4" s="14">
        <v>46098</v>
      </c>
      <c r="J4" s="14">
        <v>46103</v>
      </c>
    </row>
    <row r="5" spans="1:10" ht="88" customHeight="1">
      <c r="A5" s="11" t="s">
        <v>222</v>
      </c>
      <c r="B5" s="11" t="s">
        <v>223</v>
      </c>
      <c r="C5" s="11" t="s">
        <v>224</v>
      </c>
      <c r="D5" s="15" t="s">
        <v>131</v>
      </c>
      <c r="E5" s="11">
        <v>1</v>
      </c>
      <c r="F5" s="11" t="s">
        <v>225</v>
      </c>
      <c r="G5" s="11">
        <v>3</v>
      </c>
      <c r="H5" s="11" t="s">
        <v>191</v>
      </c>
      <c r="I5" s="14">
        <v>46101</v>
      </c>
      <c r="J5" s="14">
        <v>46105</v>
      </c>
    </row>
    <row r="6" spans="1:10" ht="88" customHeight="1">
      <c r="A6" s="11" t="s">
        <v>187</v>
      </c>
      <c r="B6" s="11" t="s">
        <v>188</v>
      </c>
      <c r="C6" s="11" t="s">
        <v>189</v>
      </c>
      <c r="D6" s="13" t="s">
        <v>129</v>
      </c>
      <c r="E6" s="11">
        <v>1</v>
      </c>
      <c r="F6" s="11" t="s">
        <v>190</v>
      </c>
      <c r="G6" s="11">
        <v>3</v>
      </c>
      <c r="H6" s="11" t="s">
        <v>191</v>
      </c>
      <c r="I6" s="14">
        <v>46102</v>
      </c>
      <c r="J6" s="14">
        <v>46106</v>
      </c>
    </row>
    <row r="7" spans="1:10" ht="88" customHeight="1">
      <c r="A7" s="11" t="s">
        <v>197</v>
      </c>
      <c r="B7" s="11" t="s">
        <v>198</v>
      </c>
      <c r="C7" s="11" t="s">
        <v>199</v>
      </c>
      <c r="D7" s="13" t="s">
        <v>129</v>
      </c>
      <c r="E7" s="11">
        <v>2</v>
      </c>
      <c r="F7" s="11" t="s">
        <v>200</v>
      </c>
      <c r="G7" s="11">
        <v>5</v>
      </c>
      <c r="H7" s="11" t="s">
        <v>201</v>
      </c>
      <c r="I7" s="14">
        <v>46111</v>
      </c>
      <c r="J7" s="14">
        <v>46116</v>
      </c>
    </row>
    <row r="8" spans="1:10" ht="88" customHeight="1">
      <c r="A8" s="11" t="s">
        <v>235</v>
      </c>
      <c r="B8" s="11" t="s">
        <v>236</v>
      </c>
      <c r="C8" s="11" t="s">
        <v>237</v>
      </c>
      <c r="D8" s="15" t="s">
        <v>131</v>
      </c>
      <c r="E8" s="11">
        <v>2</v>
      </c>
      <c r="F8" s="11" t="s">
        <v>238</v>
      </c>
      <c r="G8" s="11">
        <v>5</v>
      </c>
      <c r="H8" s="11" t="s">
        <v>239</v>
      </c>
      <c r="I8" s="14">
        <v>46113</v>
      </c>
      <c r="J8" s="14">
        <v>46118</v>
      </c>
    </row>
    <row r="9" spans="1:10" ht="88" customHeight="1">
      <c r="A9" s="11" t="s">
        <v>202</v>
      </c>
      <c r="B9" s="11" t="s">
        <v>203</v>
      </c>
      <c r="C9" s="11" t="s">
        <v>204</v>
      </c>
      <c r="D9" s="13" t="s">
        <v>129</v>
      </c>
      <c r="E9" s="11">
        <v>2</v>
      </c>
      <c r="F9" s="11" t="s">
        <v>205</v>
      </c>
      <c r="G9" s="11">
        <v>8</v>
      </c>
      <c r="H9" s="11" t="s">
        <v>206</v>
      </c>
      <c r="I9" s="14">
        <v>46115</v>
      </c>
      <c r="J9" s="14">
        <v>46121</v>
      </c>
    </row>
    <row r="10" spans="1:10" ht="88" customHeight="1">
      <c r="A10" s="11" t="s">
        <v>240</v>
      </c>
      <c r="B10" s="11" t="s">
        <v>241</v>
      </c>
      <c r="C10" s="11" t="s">
        <v>242</v>
      </c>
      <c r="D10" s="15" t="s">
        <v>131</v>
      </c>
      <c r="E10" s="11">
        <v>2</v>
      </c>
      <c r="F10" s="11" t="s">
        <v>243</v>
      </c>
      <c r="G10" s="11">
        <v>3</v>
      </c>
      <c r="H10" s="11" t="s">
        <v>244</v>
      </c>
      <c r="I10" s="14">
        <v>46118</v>
      </c>
      <c r="J10" s="14">
        <v>46122</v>
      </c>
    </row>
    <row r="11" spans="1:10" ht="88" customHeight="1">
      <c r="A11" s="11" t="s">
        <v>275</v>
      </c>
      <c r="B11" s="11" t="s">
        <v>276</v>
      </c>
      <c r="C11" s="11" t="s">
        <v>277</v>
      </c>
      <c r="D11" s="16" t="s">
        <v>133</v>
      </c>
      <c r="E11" s="11">
        <v>3</v>
      </c>
      <c r="F11" s="11" t="s">
        <v>278</v>
      </c>
      <c r="G11" s="11">
        <v>5</v>
      </c>
      <c r="H11" s="11" t="s">
        <v>279</v>
      </c>
      <c r="I11" s="14">
        <v>46125</v>
      </c>
      <c r="J11" s="14">
        <v>46130</v>
      </c>
    </row>
    <row r="12" spans="1:10" ht="88" customHeight="1">
      <c r="A12" s="19" t="s">
        <v>0</v>
      </c>
      <c r="B12" s="19" t="s">
        <v>1</v>
      </c>
      <c r="C12" s="19" t="s">
        <v>2</v>
      </c>
      <c r="D12" s="20" t="s">
        <v>300</v>
      </c>
      <c r="E12" s="11">
        <v>2</v>
      </c>
      <c r="F12" s="19" t="s">
        <v>3</v>
      </c>
      <c r="G12" s="11">
        <v>2</v>
      </c>
      <c r="H12" s="19" t="s">
        <v>4</v>
      </c>
      <c r="I12" s="14">
        <v>46125</v>
      </c>
      <c r="J12" s="14">
        <v>46130</v>
      </c>
    </row>
    <row r="13" spans="1:10" ht="88" customHeight="1">
      <c r="A13" s="19" t="s">
        <v>5</v>
      </c>
      <c r="B13" s="19" t="s">
        <v>6</v>
      </c>
      <c r="C13" s="19" t="s">
        <v>7</v>
      </c>
      <c r="D13" s="21" t="s">
        <v>301</v>
      </c>
      <c r="E13" s="11">
        <v>3</v>
      </c>
      <c r="F13" s="19" t="s">
        <v>8</v>
      </c>
      <c r="G13" s="11">
        <v>5</v>
      </c>
      <c r="H13" s="19" t="s">
        <v>9</v>
      </c>
      <c r="I13" s="14">
        <v>46126</v>
      </c>
      <c r="J13" s="14">
        <v>46131</v>
      </c>
    </row>
    <row r="14" spans="1:10" ht="87">
      <c r="A14" s="22" t="s">
        <v>10</v>
      </c>
      <c r="B14" s="22" t="s">
        <v>11</v>
      </c>
      <c r="C14" s="22" t="s">
        <v>104</v>
      </c>
      <c r="D14" s="15" t="s">
        <v>302</v>
      </c>
      <c r="E14" s="11">
        <v>3</v>
      </c>
      <c r="F14" s="19" t="s">
        <v>105</v>
      </c>
      <c r="G14" s="11">
        <v>5</v>
      </c>
      <c r="H14" s="22" t="s">
        <v>106</v>
      </c>
      <c r="I14" s="39">
        <v>46126</v>
      </c>
      <c r="J14" s="25">
        <v>46131</v>
      </c>
    </row>
    <row r="15" spans="1:10" ht="87">
      <c r="A15" s="19" t="s">
        <v>12</v>
      </c>
      <c r="B15" s="22" t="s">
        <v>107</v>
      </c>
      <c r="C15" s="22" t="s">
        <v>108</v>
      </c>
      <c r="D15" s="20" t="s">
        <v>300</v>
      </c>
      <c r="E15" s="11">
        <v>3</v>
      </c>
      <c r="F15" s="22" t="s">
        <v>109</v>
      </c>
      <c r="G15" s="11">
        <v>5</v>
      </c>
      <c r="H15" s="22" t="s">
        <v>110</v>
      </c>
      <c r="I15" s="38">
        <v>46127</v>
      </c>
      <c r="J15" s="25">
        <v>46132</v>
      </c>
    </row>
    <row r="16" spans="1:10" ht="72.5">
      <c r="A16" s="22" t="s">
        <v>13</v>
      </c>
      <c r="B16" s="22" t="s">
        <v>111</v>
      </c>
      <c r="C16" s="22" t="s">
        <v>112</v>
      </c>
      <c r="D16" s="16" t="s">
        <v>300</v>
      </c>
      <c r="E16" s="40">
        <v>2</v>
      </c>
      <c r="F16" s="22" t="s">
        <v>116</v>
      </c>
      <c r="G16" s="11">
        <v>5</v>
      </c>
      <c r="H16" s="22" t="s">
        <v>113</v>
      </c>
      <c r="I16" s="39">
        <v>46128</v>
      </c>
      <c r="J16" s="25">
        <v>46132</v>
      </c>
    </row>
    <row r="17" spans="1:10" ht="58">
      <c r="A17" s="19" t="s">
        <v>14</v>
      </c>
      <c r="B17" s="22" t="s">
        <v>114</v>
      </c>
      <c r="C17" s="22" t="s">
        <v>115</v>
      </c>
      <c r="D17" s="16" t="s">
        <v>300</v>
      </c>
      <c r="E17" s="40">
        <v>2</v>
      </c>
      <c r="F17" s="22" t="s">
        <v>120</v>
      </c>
      <c r="G17" s="11">
        <v>8</v>
      </c>
      <c r="H17" s="22" t="s">
        <v>117</v>
      </c>
      <c r="I17" s="39">
        <v>46132</v>
      </c>
      <c r="J17" s="25">
        <v>46144</v>
      </c>
    </row>
    <row r="18" spans="1:10" ht="58">
      <c r="A18" s="22" t="s">
        <v>15</v>
      </c>
      <c r="B18" s="22" t="s">
        <v>118</v>
      </c>
      <c r="C18" s="22" t="s">
        <v>119</v>
      </c>
      <c r="D18" s="23" t="s">
        <v>302</v>
      </c>
      <c r="E18" s="40">
        <v>3</v>
      </c>
      <c r="F18" s="22" t="s">
        <v>121</v>
      </c>
      <c r="G18" s="11">
        <v>8</v>
      </c>
      <c r="H18" s="22" t="s">
        <v>122</v>
      </c>
      <c r="I18" s="39">
        <v>46144</v>
      </c>
      <c r="J18" s="25">
        <v>46157</v>
      </c>
    </row>
  </sheetData>
  <autoFilter ref="A1:J18" xr:uid="{00000000-0009-0000-0000-000002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J20"/>
  <sheetViews>
    <sheetView showGridLines="0" topLeftCell="A19" workbookViewId="0">
      <selection activeCell="D2" sqref="D2"/>
    </sheetView>
  </sheetViews>
  <sheetFormatPr defaultRowHeight="13"/>
  <cols>
    <col min="1" max="1" width="12" customWidth="1"/>
    <col min="2" max="2" width="28" customWidth="1"/>
    <col min="3" max="3" width="44" customWidth="1"/>
    <col min="4" max="5" width="12" customWidth="1"/>
    <col min="6" max="6" width="55" customWidth="1"/>
    <col min="7" max="7" width="12" customWidth="1"/>
    <col min="8" max="8" width="26" customWidth="1"/>
    <col min="9" max="10" width="14" customWidth="1"/>
  </cols>
  <sheetData>
    <row r="1" spans="1:10" ht="26">
      <c r="A1" s="12" t="s">
        <v>143</v>
      </c>
      <c r="B1" s="12" t="s">
        <v>144</v>
      </c>
      <c r="C1" s="12" t="s">
        <v>145</v>
      </c>
      <c r="D1" s="12" t="s">
        <v>146</v>
      </c>
      <c r="E1" s="12" t="s">
        <v>147</v>
      </c>
      <c r="F1" s="12" t="s">
        <v>148</v>
      </c>
      <c r="G1" s="12" t="s">
        <v>149</v>
      </c>
      <c r="H1" s="12" t="s">
        <v>140</v>
      </c>
      <c r="I1" s="12" t="s">
        <v>150</v>
      </c>
      <c r="J1" s="12" t="s">
        <v>151</v>
      </c>
    </row>
    <row r="2" spans="1:10" ht="88" customHeight="1">
      <c r="A2" s="11" t="s">
        <v>157</v>
      </c>
      <c r="B2" s="11" t="s">
        <v>158</v>
      </c>
      <c r="C2" s="11" t="s">
        <v>159</v>
      </c>
      <c r="D2" s="13" t="s">
        <v>129</v>
      </c>
      <c r="E2" s="11">
        <v>1</v>
      </c>
      <c r="F2" s="11" t="s">
        <v>160</v>
      </c>
      <c r="G2" s="11">
        <v>2</v>
      </c>
      <c r="H2" s="11" t="s">
        <v>161</v>
      </c>
      <c r="I2" s="14">
        <v>46097</v>
      </c>
      <c r="J2" s="14">
        <v>46099</v>
      </c>
    </row>
    <row r="3" spans="1:10" ht="88" customHeight="1">
      <c r="A3" s="11" t="s">
        <v>162</v>
      </c>
      <c r="B3" s="11" t="s">
        <v>163</v>
      </c>
      <c r="C3" s="11" t="s">
        <v>164</v>
      </c>
      <c r="D3" s="13" t="s">
        <v>129</v>
      </c>
      <c r="E3" s="11">
        <v>1</v>
      </c>
      <c r="F3" s="11" t="s">
        <v>165</v>
      </c>
      <c r="G3" s="11">
        <v>5</v>
      </c>
      <c r="H3" s="11" t="s">
        <v>166</v>
      </c>
      <c r="I3" s="14">
        <v>46098</v>
      </c>
      <c r="J3" s="14">
        <v>46103</v>
      </c>
    </row>
    <row r="4" spans="1:10" ht="88" customHeight="1">
      <c r="A4" s="11" t="s">
        <v>167</v>
      </c>
      <c r="B4" s="11" t="s">
        <v>168</v>
      </c>
      <c r="C4" s="11" t="s">
        <v>169</v>
      </c>
      <c r="D4" s="13" t="s">
        <v>129</v>
      </c>
      <c r="E4" s="11">
        <v>1</v>
      </c>
      <c r="F4" s="11" t="s">
        <v>170</v>
      </c>
      <c r="G4" s="11">
        <v>3</v>
      </c>
      <c r="H4" s="11" t="s">
        <v>171</v>
      </c>
      <c r="I4" s="14">
        <v>46101</v>
      </c>
      <c r="J4" s="14">
        <v>46105</v>
      </c>
    </row>
    <row r="5" spans="1:10" ht="88" customHeight="1">
      <c r="A5" s="11" t="s">
        <v>226</v>
      </c>
      <c r="B5" s="11" t="s">
        <v>227</v>
      </c>
      <c r="C5" s="11" t="s">
        <v>228</v>
      </c>
      <c r="D5" s="15" t="s">
        <v>131</v>
      </c>
      <c r="E5" s="11">
        <v>2</v>
      </c>
      <c r="F5" s="11" t="s">
        <v>229</v>
      </c>
      <c r="G5" s="11">
        <v>3</v>
      </c>
      <c r="H5" s="11" t="s">
        <v>171</v>
      </c>
      <c r="I5" s="14">
        <v>46111</v>
      </c>
      <c r="J5" s="14">
        <v>46115</v>
      </c>
    </row>
    <row r="6" spans="1:10" ht="88" customHeight="1">
      <c r="A6" s="11" t="s">
        <v>230</v>
      </c>
      <c r="B6" s="11" t="s">
        <v>231</v>
      </c>
      <c r="C6" s="11" t="s">
        <v>232</v>
      </c>
      <c r="D6" s="15" t="s">
        <v>131</v>
      </c>
      <c r="E6" s="11">
        <v>2</v>
      </c>
      <c r="F6" s="11" t="s">
        <v>233</v>
      </c>
      <c r="G6" s="11">
        <v>3</v>
      </c>
      <c r="H6" s="11" t="s">
        <v>234</v>
      </c>
      <c r="I6" s="14">
        <v>46113</v>
      </c>
      <c r="J6" s="14">
        <v>46117</v>
      </c>
    </row>
    <row r="7" spans="1:10" ht="88" customHeight="1">
      <c r="A7" s="11" t="s">
        <v>192</v>
      </c>
      <c r="B7" s="11" t="s">
        <v>193</v>
      </c>
      <c r="C7" s="11" t="s">
        <v>194</v>
      </c>
      <c r="D7" s="13" t="s">
        <v>129</v>
      </c>
      <c r="E7" s="11">
        <v>2</v>
      </c>
      <c r="F7" s="11" t="s">
        <v>195</v>
      </c>
      <c r="G7" s="11">
        <v>5</v>
      </c>
      <c r="H7" s="11" t="s">
        <v>196</v>
      </c>
      <c r="I7" s="14">
        <v>46115</v>
      </c>
      <c r="J7" s="14">
        <v>46120</v>
      </c>
    </row>
    <row r="8" spans="1:10" ht="88" customHeight="1">
      <c r="A8" s="11" t="s">
        <v>245</v>
      </c>
      <c r="B8" s="11" t="s">
        <v>246</v>
      </c>
      <c r="C8" s="11" t="s">
        <v>247</v>
      </c>
      <c r="D8" s="15" t="s">
        <v>131</v>
      </c>
      <c r="E8" s="11">
        <v>3</v>
      </c>
      <c r="F8" s="11" t="s">
        <v>248</v>
      </c>
      <c r="G8" s="11">
        <v>5</v>
      </c>
      <c r="H8" s="11" t="s">
        <v>249</v>
      </c>
      <c r="I8" s="14">
        <v>46125</v>
      </c>
      <c r="J8" s="14">
        <v>46130</v>
      </c>
    </row>
    <row r="9" spans="1:10" ht="88" customHeight="1">
      <c r="A9" s="11" t="s">
        <v>250</v>
      </c>
      <c r="B9" s="11" t="s">
        <v>251</v>
      </c>
      <c r="C9" s="11" t="s">
        <v>252</v>
      </c>
      <c r="D9" s="15" t="s">
        <v>131</v>
      </c>
      <c r="E9" s="11">
        <v>3</v>
      </c>
      <c r="F9" s="11" t="s">
        <v>253</v>
      </c>
      <c r="G9" s="11">
        <v>3</v>
      </c>
      <c r="H9" s="11" t="s">
        <v>254</v>
      </c>
      <c r="I9" s="14">
        <v>46127</v>
      </c>
      <c r="J9" s="14">
        <v>46131</v>
      </c>
    </row>
    <row r="10" spans="1:10" ht="88" customHeight="1">
      <c r="A10" s="11" t="s">
        <v>207</v>
      </c>
      <c r="B10" s="11" t="s">
        <v>208</v>
      </c>
      <c r="C10" s="11" t="s">
        <v>209</v>
      </c>
      <c r="D10" s="13" t="s">
        <v>129</v>
      </c>
      <c r="E10" s="11">
        <v>3</v>
      </c>
      <c r="F10" s="11" t="s">
        <v>210</v>
      </c>
      <c r="G10" s="11">
        <v>8</v>
      </c>
      <c r="H10" s="11" t="s">
        <v>211</v>
      </c>
      <c r="I10" s="14">
        <v>46128</v>
      </c>
      <c r="J10" s="14">
        <v>46136</v>
      </c>
    </row>
    <row r="11" spans="1:10" ht="88" customHeight="1">
      <c r="A11" s="11" t="s">
        <v>285</v>
      </c>
      <c r="B11" s="11" t="s">
        <v>286</v>
      </c>
      <c r="C11" s="11" t="s">
        <v>287</v>
      </c>
      <c r="D11" s="16" t="s">
        <v>133</v>
      </c>
      <c r="E11" s="11">
        <v>4</v>
      </c>
      <c r="F11" s="11" t="s">
        <v>288</v>
      </c>
      <c r="G11" s="11">
        <v>3</v>
      </c>
      <c r="H11" s="11" t="s">
        <v>289</v>
      </c>
      <c r="I11" s="14">
        <v>46139</v>
      </c>
      <c r="J11" s="14">
        <v>46143</v>
      </c>
    </row>
    <row r="12" spans="1:10" ht="88" customHeight="1">
      <c r="A12" s="19" t="s">
        <v>16</v>
      </c>
      <c r="B12" s="19" t="s">
        <v>17</v>
      </c>
      <c r="C12" s="19" t="s">
        <v>18</v>
      </c>
      <c r="D12" s="23" t="s">
        <v>302</v>
      </c>
      <c r="E12" s="11">
        <v>2</v>
      </c>
      <c r="F12" s="19" t="s">
        <v>19</v>
      </c>
      <c r="G12" s="11">
        <v>4</v>
      </c>
      <c r="H12" s="19" t="s">
        <v>20</v>
      </c>
      <c r="I12" s="14">
        <v>46125</v>
      </c>
      <c r="J12" s="14">
        <v>46130</v>
      </c>
    </row>
    <row r="13" spans="1:10" ht="88" customHeight="1">
      <c r="A13" s="19" t="s">
        <v>21</v>
      </c>
      <c r="B13" s="19" t="s">
        <v>22</v>
      </c>
      <c r="C13" s="19" t="s">
        <v>23</v>
      </c>
      <c r="D13" s="24" t="s">
        <v>24</v>
      </c>
      <c r="E13" s="11">
        <v>3</v>
      </c>
      <c r="F13" s="19" t="s">
        <v>25</v>
      </c>
      <c r="G13" s="11">
        <v>3</v>
      </c>
      <c r="H13" s="19" t="s">
        <v>26</v>
      </c>
      <c r="I13" s="25">
        <v>46125</v>
      </c>
      <c r="J13" s="25">
        <v>46138</v>
      </c>
    </row>
    <row r="14" spans="1:10" ht="88" customHeight="1">
      <c r="A14" s="22" t="s">
        <v>27</v>
      </c>
      <c r="B14" s="22" t="s">
        <v>28</v>
      </c>
      <c r="C14" s="22" t="s">
        <v>29</v>
      </c>
      <c r="D14" s="20" t="s">
        <v>30</v>
      </c>
      <c r="E14" s="11">
        <v>2</v>
      </c>
      <c r="F14" s="22" t="s">
        <v>31</v>
      </c>
      <c r="G14" s="11">
        <v>2</v>
      </c>
      <c r="H14" s="22" t="s">
        <v>32</v>
      </c>
      <c r="I14" s="25">
        <v>46111</v>
      </c>
      <c r="J14" s="25">
        <v>46124</v>
      </c>
    </row>
    <row r="15" spans="1:10" ht="88" customHeight="1">
      <c r="A15" s="22" t="s">
        <v>33</v>
      </c>
      <c r="B15" s="22" t="s">
        <v>34</v>
      </c>
      <c r="C15" s="22" t="s">
        <v>35</v>
      </c>
      <c r="D15" s="16" t="s">
        <v>30</v>
      </c>
      <c r="E15" s="11">
        <v>3</v>
      </c>
      <c r="F15" s="22" t="s">
        <v>36</v>
      </c>
      <c r="G15" s="11">
        <v>5</v>
      </c>
      <c r="H15" s="22" t="s">
        <v>37</v>
      </c>
      <c r="I15" s="25">
        <v>46125</v>
      </c>
      <c r="J15" s="25">
        <v>46138</v>
      </c>
    </row>
    <row r="16" spans="1:10" ht="88" customHeight="1">
      <c r="A16" s="22" t="s">
        <v>38</v>
      </c>
      <c r="B16" s="22" t="s">
        <v>39</v>
      </c>
      <c r="C16" s="22" t="s">
        <v>40</v>
      </c>
      <c r="D16" s="26" t="s">
        <v>41</v>
      </c>
      <c r="E16" s="11">
        <v>2</v>
      </c>
      <c r="F16" s="22" t="s">
        <v>42</v>
      </c>
      <c r="G16" s="11">
        <v>5</v>
      </c>
      <c r="H16" s="22" t="s">
        <v>43</v>
      </c>
      <c r="I16" s="25">
        <v>46111</v>
      </c>
      <c r="J16" s="25">
        <v>46124</v>
      </c>
    </row>
    <row r="17" spans="1:10" ht="88" customHeight="1">
      <c r="A17" s="22" t="s">
        <v>44</v>
      </c>
      <c r="B17" s="27" t="s">
        <v>45</v>
      </c>
      <c r="C17" s="22" t="s">
        <v>46</v>
      </c>
      <c r="D17" s="20" t="s">
        <v>30</v>
      </c>
      <c r="E17" s="11">
        <v>4</v>
      </c>
      <c r="F17" s="22" t="s">
        <v>47</v>
      </c>
      <c r="G17" s="11">
        <v>3</v>
      </c>
      <c r="H17" s="22" t="s">
        <v>48</v>
      </c>
      <c r="I17" s="25">
        <v>46139</v>
      </c>
      <c r="J17" s="25">
        <v>46143</v>
      </c>
    </row>
    <row r="18" spans="1:10" ht="72.5">
      <c r="A18" s="22" t="s">
        <v>49</v>
      </c>
      <c r="B18" s="22" t="s">
        <v>50</v>
      </c>
      <c r="C18" s="22" t="s">
        <v>51</v>
      </c>
      <c r="D18" s="20" t="s">
        <v>30</v>
      </c>
      <c r="E18" s="11">
        <v>4</v>
      </c>
      <c r="F18" s="22" t="s">
        <v>52</v>
      </c>
      <c r="G18" s="11">
        <v>5</v>
      </c>
      <c r="H18" s="22" t="s">
        <v>53</v>
      </c>
      <c r="I18" s="25">
        <v>46140</v>
      </c>
      <c r="J18" s="25">
        <v>46145</v>
      </c>
    </row>
    <row r="19" spans="1:10" ht="87">
      <c r="A19" s="22" t="s">
        <v>54</v>
      </c>
      <c r="B19" s="27" t="s">
        <v>55</v>
      </c>
      <c r="C19" s="22" t="s">
        <v>56</v>
      </c>
      <c r="D19" s="20" t="s">
        <v>30</v>
      </c>
      <c r="E19" s="11">
        <v>4</v>
      </c>
      <c r="F19" s="22" t="s">
        <v>57</v>
      </c>
      <c r="G19" s="11">
        <v>3</v>
      </c>
      <c r="H19" s="22" t="s">
        <v>58</v>
      </c>
      <c r="I19" s="25">
        <v>46141</v>
      </c>
      <c r="J19" s="25">
        <v>46146</v>
      </c>
    </row>
    <row r="20" spans="1:10" ht="87">
      <c r="A20" s="22" t="s">
        <v>59</v>
      </c>
      <c r="B20" s="28" t="s">
        <v>60</v>
      </c>
      <c r="C20" s="22" t="s">
        <v>61</v>
      </c>
      <c r="D20" s="24" t="s">
        <v>24</v>
      </c>
      <c r="E20" s="11">
        <v>5</v>
      </c>
      <c r="F20" s="22" t="s">
        <v>62</v>
      </c>
      <c r="G20" s="11">
        <v>5</v>
      </c>
      <c r="H20" s="27" t="s">
        <v>63</v>
      </c>
      <c r="I20" s="25">
        <v>46143</v>
      </c>
      <c r="J20" s="25">
        <v>46148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J17"/>
  <sheetViews>
    <sheetView showGridLines="0" workbookViewId="0"/>
  </sheetViews>
  <sheetFormatPr defaultRowHeight="13"/>
  <cols>
    <col min="1" max="1" width="12" customWidth="1"/>
    <col min="2" max="2" width="28" customWidth="1"/>
    <col min="3" max="3" width="44" customWidth="1"/>
    <col min="4" max="5" width="12" customWidth="1"/>
    <col min="6" max="6" width="55" customWidth="1"/>
    <col min="7" max="7" width="12" customWidth="1"/>
    <col min="8" max="8" width="26" customWidth="1"/>
    <col min="9" max="10" width="14" customWidth="1"/>
  </cols>
  <sheetData>
    <row r="1" spans="1:10" ht="26">
      <c r="A1" s="12" t="s">
        <v>143</v>
      </c>
      <c r="B1" s="12" t="s">
        <v>144</v>
      </c>
      <c r="C1" s="12" t="s">
        <v>145</v>
      </c>
      <c r="D1" s="12" t="s">
        <v>146</v>
      </c>
      <c r="E1" s="12" t="s">
        <v>147</v>
      </c>
      <c r="F1" s="12" t="s">
        <v>148</v>
      </c>
      <c r="G1" s="12" t="s">
        <v>149</v>
      </c>
      <c r="H1" s="12" t="s">
        <v>140</v>
      </c>
      <c r="I1" s="12" t="s">
        <v>150</v>
      </c>
      <c r="J1" s="12" t="s">
        <v>151</v>
      </c>
    </row>
    <row r="2" spans="1:10" ht="88" customHeight="1">
      <c r="A2" s="11" t="s">
        <v>152</v>
      </c>
      <c r="B2" s="11" t="s">
        <v>153</v>
      </c>
      <c r="C2" s="11" t="s">
        <v>154</v>
      </c>
      <c r="D2" s="13" t="s">
        <v>129</v>
      </c>
      <c r="E2" s="11">
        <v>1</v>
      </c>
      <c r="F2" s="11" t="s">
        <v>155</v>
      </c>
      <c r="G2" s="11">
        <v>2</v>
      </c>
      <c r="H2" s="11" t="s">
        <v>156</v>
      </c>
      <c r="I2" s="14">
        <v>46097</v>
      </c>
      <c r="J2" s="14">
        <v>46099</v>
      </c>
    </row>
    <row r="3" spans="1:10" ht="88" customHeight="1">
      <c r="A3" s="11" t="s">
        <v>212</v>
      </c>
      <c r="B3" s="11" t="s">
        <v>213</v>
      </c>
      <c r="C3" s="11" t="s">
        <v>214</v>
      </c>
      <c r="D3" s="13" t="s">
        <v>129</v>
      </c>
      <c r="E3" s="11">
        <v>4</v>
      </c>
      <c r="F3" s="11" t="s">
        <v>215</v>
      </c>
      <c r="G3" s="11">
        <v>5</v>
      </c>
      <c r="H3" s="11" t="s">
        <v>216</v>
      </c>
      <c r="I3" s="14">
        <v>46139</v>
      </c>
      <c r="J3" s="14">
        <v>46145</v>
      </c>
    </row>
    <row r="4" spans="1:10" ht="88" customHeight="1">
      <c r="A4" s="11" t="s">
        <v>255</v>
      </c>
      <c r="B4" s="11" t="s">
        <v>256</v>
      </c>
      <c r="C4" s="11" t="s">
        <v>257</v>
      </c>
      <c r="D4" s="15" t="s">
        <v>131</v>
      </c>
      <c r="E4" s="11">
        <v>4</v>
      </c>
      <c r="F4" s="11" t="s">
        <v>258</v>
      </c>
      <c r="G4" s="11">
        <v>3</v>
      </c>
      <c r="H4" s="11" t="s">
        <v>259</v>
      </c>
      <c r="I4" s="14">
        <v>46140</v>
      </c>
      <c r="J4" s="14">
        <v>46146</v>
      </c>
    </row>
    <row r="5" spans="1:10" ht="88" customHeight="1">
      <c r="A5" s="11" t="s">
        <v>217</v>
      </c>
      <c r="B5" s="11" t="s">
        <v>218</v>
      </c>
      <c r="C5" s="11" t="s">
        <v>219</v>
      </c>
      <c r="D5" s="13" t="s">
        <v>129</v>
      </c>
      <c r="E5" s="11">
        <v>4</v>
      </c>
      <c r="F5" s="11" t="s">
        <v>220</v>
      </c>
      <c r="G5" s="11">
        <v>5</v>
      </c>
      <c r="H5" s="11" t="s">
        <v>221</v>
      </c>
      <c r="I5" s="14">
        <v>46141</v>
      </c>
      <c r="J5" s="14">
        <v>46148</v>
      </c>
    </row>
    <row r="6" spans="1:10" ht="88" customHeight="1">
      <c r="A6" s="11" t="s">
        <v>260</v>
      </c>
      <c r="B6" s="11" t="s">
        <v>261</v>
      </c>
      <c r="C6" s="11" t="s">
        <v>262</v>
      </c>
      <c r="D6" s="15" t="s">
        <v>131</v>
      </c>
      <c r="E6" s="11">
        <v>4</v>
      </c>
      <c r="F6" s="11" t="s">
        <v>263</v>
      </c>
      <c r="G6" s="11">
        <v>5</v>
      </c>
      <c r="H6" s="11" t="s">
        <v>264</v>
      </c>
      <c r="I6" s="14">
        <v>46143</v>
      </c>
      <c r="J6" s="14">
        <v>46149</v>
      </c>
    </row>
    <row r="7" spans="1:10" ht="88" customHeight="1">
      <c r="A7" s="11" t="s">
        <v>270</v>
      </c>
      <c r="B7" s="11" t="s">
        <v>271</v>
      </c>
      <c r="C7" s="11" t="s">
        <v>272</v>
      </c>
      <c r="D7" s="16" t="s">
        <v>133</v>
      </c>
      <c r="E7" s="11">
        <v>3</v>
      </c>
      <c r="F7" s="11" t="s">
        <v>273</v>
      </c>
      <c r="G7" s="11">
        <v>3</v>
      </c>
      <c r="H7" s="11" t="s">
        <v>274</v>
      </c>
      <c r="I7" s="14">
        <v>46125</v>
      </c>
      <c r="J7" s="14">
        <v>46129</v>
      </c>
    </row>
    <row r="8" spans="1:10" ht="88" customHeight="1">
      <c r="A8" s="11" t="s">
        <v>280</v>
      </c>
      <c r="B8" s="11" t="s">
        <v>281</v>
      </c>
      <c r="C8" s="11" t="s">
        <v>282</v>
      </c>
      <c r="D8" s="16" t="s">
        <v>133</v>
      </c>
      <c r="E8" s="11">
        <v>4</v>
      </c>
      <c r="F8" s="11" t="s">
        <v>283</v>
      </c>
      <c r="G8" s="11">
        <v>3</v>
      </c>
      <c r="H8" s="11" t="s">
        <v>284</v>
      </c>
      <c r="I8" s="14">
        <v>46144</v>
      </c>
      <c r="J8" s="14">
        <v>46150</v>
      </c>
    </row>
    <row r="9" spans="1:10" ht="88" customHeight="1">
      <c r="A9" s="11" t="s">
        <v>265</v>
      </c>
      <c r="B9" s="11" t="s">
        <v>266</v>
      </c>
      <c r="C9" s="11" t="s">
        <v>267</v>
      </c>
      <c r="D9" s="15" t="s">
        <v>131</v>
      </c>
      <c r="E9" s="11">
        <v>5</v>
      </c>
      <c r="F9" s="11" t="s">
        <v>268</v>
      </c>
      <c r="G9" s="11">
        <v>5</v>
      </c>
      <c r="H9" s="11" t="s">
        <v>269</v>
      </c>
      <c r="I9" s="14">
        <v>46153</v>
      </c>
      <c r="J9" s="14">
        <v>46159</v>
      </c>
    </row>
    <row r="10" spans="1:10" ht="88" customHeight="1">
      <c r="A10" s="11" t="s">
        <v>290</v>
      </c>
      <c r="B10" s="11" t="s">
        <v>291</v>
      </c>
      <c r="C10" s="11" t="s">
        <v>292</v>
      </c>
      <c r="D10" s="17" t="s">
        <v>134</v>
      </c>
      <c r="E10" s="11">
        <v>5</v>
      </c>
      <c r="F10" s="11" t="s">
        <v>293</v>
      </c>
      <c r="G10" s="11">
        <v>5</v>
      </c>
      <c r="H10" s="11" t="s">
        <v>294</v>
      </c>
      <c r="I10" s="14">
        <v>46155</v>
      </c>
      <c r="J10" s="14">
        <v>46162</v>
      </c>
    </row>
    <row r="11" spans="1:10" ht="88" customHeight="1">
      <c r="A11" s="11" t="s">
        <v>295</v>
      </c>
      <c r="B11" s="11" t="s">
        <v>296</v>
      </c>
      <c r="C11" s="11" t="s">
        <v>297</v>
      </c>
      <c r="D11" s="18" t="s">
        <v>135</v>
      </c>
      <c r="E11" s="11">
        <v>5</v>
      </c>
      <c r="F11" s="11" t="s">
        <v>298</v>
      </c>
      <c r="G11" s="11">
        <v>3</v>
      </c>
      <c r="H11" s="11" t="s">
        <v>299</v>
      </c>
      <c r="I11" s="14">
        <v>46157</v>
      </c>
      <c r="J11" s="14">
        <v>46164</v>
      </c>
    </row>
    <row r="12" spans="1:10" ht="88" customHeight="1">
      <c r="A12" s="19" t="s">
        <v>64</v>
      </c>
      <c r="B12" s="19" t="s">
        <v>65</v>
      </c>
      <c r="C12" s="19" t="s">
        <v>66</v>
      </c>
      <c r="D12" s="29" t="s">
        <v>303</v>
      </c>
      <c r="E12" s="11">
        <v>1</v>
      </c>
      <c r="F12" s="19" t="s">
        <v>67</v>
      </c>
      <c r="G12" s="11">
        <v>3</v>
      </c>
      <c r="H12" s="19" t="s">
        <v>68</v>
      </c>
      <c r="I12" s="14">
        <v>46157</v>
      </c>
      <c r="J12" s="14">
        <v>46164</v>
      </c>
    </row>
    <row r="13" spans="1:10" ht="88" customHeight="1">
      <c r="A13" s="19" t="s">
        <v>69</v>
      </c>
      <c r="B13" s="19" t="s">
        <v>70</v>
      </c>
      <c r="C13" s="19" t="s">
        <v>71</v>
      </c>
      <c r="D13" s="23" t="s">
        <v>302</v>
      </c>
      <c r="E13" s="11">
        <v>2</v>
      </c>
      <c r="F13" s="19" t="s">
        <v>72</v>
      </c>
      <c r="G13" s="11">
        <v>5</v>
      </c>
      <c r="H13" s="19" t="s">
        <v>73</v>
      </c>
      <c r="I13" s="14">
        <v>46153</v>
      </c>
      <c r="J13" s="14">
        <v>46159</v>
      </c>
    </row>
    <row r="14" spans="1:10" ht="78">
      <c r="A14" s="22" t="s">
        <v>74</v>
      </c>
      <c r="B14" s="22" t="s">
        <v>75</v>
      </c>
      <c r="C14" s="22" t="s">
        <v>76</v>
      </c>
      <c r="D14" s="30" t="s">
        <v>300</v>
      </c>
      <c r="E14" s="31">
        <v>4</v>
      </c>
      <c r="F14" s="32" t="s">
        <v>77</v>
      </c>
      <c r="G14" s="31">
        <v>3</v>
      </c>
      <c r="H14" s="33" t="s">
        <v>78</v>
      </c>
      <c r="I14" s="34">
        <v>46143</v>
      </c>
      <c r="J14" s="34">
        <v>46149</v>
      </c>
    </row>
    <row r="15" spans="1:10" ht="87">
      <c r="A15" s="22" t="s">
        <v>79</v>
      </c>
      <c r="B15" s="22" t="s">
        <v>80</v>
      </c>
      <c r="C15" s="22" t="s">
        <v>81</v>
      </c>
      <c r="D15" s="35" t="s">
        <v>302</v>
      </c>
      <c r="E15" s="22">
        <v>4</v>
      </c>
      <c r="F15" s="22" t="s">
        <v>82</v>
      </c>
      <c r="G15" s="22">
        <v>3</v>
      </c>
      <c r="H15" s="22" t="s">
        <v>83</v>
      </c>
      <c r="I15" s="34">
        <v>46144</v>
      </c>
      <c r="J15" s="34">
        <v>46150</v>
      </c>
    </row>
    <row r="16" spans="1:10" ht="87">
      <c r="A16" s="22" t="s">
        <v>84</v>
      </c>
      <c r="B16" s="22" t="s">
        <v>85</v>
      </c>
      <c r="C16" s="22" t="s">
        <v>86</v>
      </c>
      <c r="D16" s="36" t="s">
        <v>301</v>
      </c>
      <c r="E16" s="22">
        <v>4</v>
      </c>
      <c r="F16" s="22" t="s">
        <v>87</v>
      </c>
      <c r="G16" s="22">
        <v>5</v>
      </c>
      <c r="H16" s="22" t="s">
        <v>88</v>
      </c>
      <c r="I16" s="34">
        <v>46153</v>
      </c>
      <c r="J16" s="34">
        <v>46159</v>
      </c>
    </row>
    <row r="17" spans="1:10" ht="87">
      <c r="A17" s="22" t="s">
        <v>89</v>
      </c>
      <c r="B17" s="22" t="s">
        <v>90</v>
      </c>
      <c r="C17" s="22" t="s">
        <v>91</v>
      </c>
      <c r="D17" s="36" t="s">
        <v>301</v>
      </c>
      <c r="E17" s="22">
        <v>4</v>
      </c>
      <c r="F17" s="22" t="s">
        <v>92</v>
      </c>
      <c r="G17" s="22">
        <v>5</v>
      </c>
      <c r="H17" s="22" t="s">
        <v>93</v>
      </c>
      <c r="I17" s="37">
        <v>46149</v>
      </c>
      <c r="J17" s="37">
        <v>46155</v>
      </c>
    </row>
  </sheetData>
  <autoFilter ref="A1:J18" xr:uid="{00000000-0009-0000-0000-000004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64A2"/>
  </sheetPr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3"/>
  <cols>
    <col min="1" max="1" width="24" customWidth="1"/>
    <col min="2" max="2" width="14" customWidth="1"/>
    <col min="3" max="3" width="80" customWidth="1"/>
  </cols>
  <sheetData>
    <row r="1" spans="1:3">
      <c r="A1" s="12" t="s">
        <v>304</v>
      </c>
      <c r="B1" s="12" t="s">
        <v>305</v>
      </c>
      <c r="C1" s="12" t="s">
        <v>306</v>
      </c>
    </row>
    <row r="2" spans="1:3" ht="34" customHeight="1">
      <c r="A2" s="11" t="s">
        <v>307</v>
      </c>
      <c r="B2" s="11" t="s">
        <v>128</v>
      </c>
      <c r="C2" s="11" t="s">
        <v>308</v>
      </c>
    </row>
    <row r="3" spans="1:3" ht="34" customHeight="1">
      <c r="A3" s="11" t="s">
        <v>309</v>
      </c>
      <c r="B3" s="11" t="s">
        <v>130</v>
      </c>
      <c r="C3" s="11" t="s">
        <v>310</v>
      </c>
    </row>
    <row r="4" spans="1:3" ht="34" customHeight="1">
      <c r="A4" s="11" t="s">
        <v>311</v>
      </c>
      <c r="B4" s="11" t="s">
        <v>132</v>
      </c>
      <c r="C4" s="11" t="s">
        <v>312</v>
      </c>
    </row>
    <row r="5" spans="1:3" ht="34" customHeight="1">
      <c r="A5" s="11" t="s">
        <v>313</v>
      </c>
      <c r="B5" s="11" t="s">
        <v>314</v>
      </c>
      <c r="C5" s="11" t="s">
        <v>315</v>
      </c>
    </row>
    <row r="6" spans="1:3" ht="34" customHeight="1">
      <c r="A6" s="11" t="s">
        <v>316</v>
      </c>
      <c r="B6" s="19" t="s">
        <v>94</v>
      </c>
      <c r="C6" s="11" t="s">
        <v>317</v>
      </c>
    </row>
    <row r="7" spans="1:3" ht="34" customHeight="1">
      <c r="A7" s="11" t="s">
        <v>318</v>
      </c>
      <c r="B7" s="19" t="s">
        <v>95</v>
      </c>
      <c r="C7" s="11" t="s">
        <v>319</v>
      </c>
    </row>
    <row r="8" spans="1:3" ht="34" customHeight="1">
      <c r="A8" s="11" t="s">
        <v>320</v>
      </c>
      <c r="B8" s="19" t="s">
        <v>96</v>
      </c>
      <c r="C8" s="11" t="s">
        <v>321</v>
      </c>
    </row>
    <row r="9" spans="1:3" ht="34" customHeight="1">
      <c r="A9" s="11" t="s">
        <v>322</v>
      </c>
      <c r="B9" s="19" t="s">
        <v>97</v>
      </c>
      <c r="C9" s="11" t="s">
        <v>323</v>
      </c>
    </row>
    <row r="10" spans="1:3" ht="34" customHeight="1">
      <c r="A10" s="11" t="s">
        <v>324</v>
      </c>
      <c r="B10" s="19" t="s">
        <v>98</v>
      </c>
      <c r="C10" s="11" t="s">
        <v>325</v>
      </c>
    </row>
    <row r="11" spans="1:3" ht="34" customHeight="1">
      <c r="A11" s="11" t="s">
        <v>326</v>
      </c>
      <c r="B11" s="19" t="s">
        <v>99</v>
      </c>
      <c r="C11" s="11" t="s">
        <v>327</v>
      </c>
    </row>
  </sheetData>
  <autoFilter ref="A1:C11" xr:uid="{00000000-0009-0000-0000-000005000000}"/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BACC6"/>
  </sheetPr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3"/>
  <cols>
    <col min="1" max="1" width="12" customWidth="1"/>
    <col min="2" max="2" width="26" customWidth="1"/>
    <col min="3" max="3" width="52" customWidth="1"/>
    <col min="4" max="4" width="34" customWidth="1"/>
  </cols>
  <sheetData>
    <row r="1" spans="1:4">
      <c r="A1" s="12" t="s">
        <v>328</v>
      </c>
      <c r="B1" s="12" t="s">
        <v>329</v>
      </c>
      <c r="C1" s="12" t="s">
        <v>145</v>
      </c>
      <c r="D1" s="12" t="s">
        <v>330</v>
      </c>
    </row>
    <row r="2" spans="1:4" ht="46" customHeight="1">
      <c r="A2" s="11" t="s">
        <v>331</v>
      </c>
      <c r="B2" s="11" t="s">
        <v>332</v>
      </c>
      <c r="C2" s="11" t="s">
        <v>333</v>
      </c>
      <c r="D2" s="19" t="s">
        <v>100</v>
      </c>
    </row>
    <row r="3" spans="1:4" ht="46" customHeight="1">
      <c r="A3" s="11" t="s">
        <v>334</v>
      </c>
      <c r="B3" s="11" t="s">
        <v>335</v>
      </c>
      <c r="C3" s="11" t="s">
        <v>336</v>
      </c>
      <c r="D3" s="11" t="s">
        <v>337</v>
      </c>
    </row>
    <row r="4" spans="1:4" ht="46" customHeight="1">
      <c r="A4" s="11" t="s">
        <v>338</v>
      </c>
      <c r="B4" s="11" t="s">
        <v>339</v>
      </c>
      <c r="C4" s="11" t="s">
        <v>340</v>
      </c>
      <c r="D4" s="19" t="s">
        <v>101</v>
      </c>
    </row>
    <row r="5" spans="1:4" ht="46" customHeight="1">
      <c r="A5" s="11" t="s">
        <v>341</v>
      </c>
      <c r="B5" s="11" t="s">
        <v>342</v>
      </c>
      <c r="C5" s="11" t="s">
        <v>343</v>
      </c>
      <c r="D5" s="19" t="s">
        <v>102</v>
      </c>
    </row>
    <row r="6" spans="1:4" ht="46" customHeight="1">
      <c r="A6" s="11" t="s">
        <v>344</v>
      </c>
      <c r="B6" s="11" t="s">
        <v>345</v>
      </c>
      <c r="C6" s="11" t="s">
        <v>346</v>
      </c>
      <c r="D6" s="19" t="s">
        <v>103</v>
      </c>
    </row>
    <row r="7" spans="1:4" ht="46" customHeight="1">
      <c r="A7" s="11" t="s">
        <v>347</v>
      </c>
      <c r="B7" s="11" t="s">
        <v>348</v>
      </c>
      <c r="C7" s="11" t="s">
        <v>349</v>
      </c>
      <c r="D7" s="11" t="s">
        <v>350</v>
      </c>
    </row>
  </sheetData>
  <autoFilter ref="A1:D7" xr:uid="{00000000-0009-0000-0000-000006000000}"/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3AF48B-363B-4050-B5BD-8621AC99D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All Requirements</vt:lpstr>
      <vt:lpstr>TA</vt:lpstr>
      <vt:lpstr>MO</vt:lpstr>
      <vt:lpstr>Admin</vt:lpstr>
      <vt:lpstr>Glossary</vt:lpstr>
      <vt:lpstr>Epics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青问</cp:lastModifiedBy>
  <dcterms:created xsi:type="dcterms:W3CDTF">2026-03-22T14:38:30Z</dcterms:created>
  <dcterms:modified xsi:type="dcterms:W3CDTF">2026-03-22T07:05:57Z</dcterms:modified>
</cp:coreProperties>
</file>